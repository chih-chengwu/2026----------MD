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1132\2025全國經營管理專題競賽\競賽文件\"/>
    </mc:Choice>
  </mc:AlternateContent>
  <xr:revisionPtr revIDLastSave="0" documentId="13_ncr:1_{370AAAB5-83F4-4EB4-A2FE-30392DC3F6D6}" xr6:coauthVersionLast="47" xr6:coauthVersionMax="47" xr10:uidLastSave="{00000000-0000-0000-0000-000000000000}"/>
  <bookViews>
    <workbookView xWindow="-108" yWindow="-108" windowWidth="23256" windowHeight="12576" xr2:uid="{D72D048E-CBD8-4626-B475-5FBD099E8BF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</calcChain>
</file>

<file path=xl/sharedStrings.xml><?xml version="1.0" encoding="utf-8"?>
<sst xmlns="http://schemas.openxmlformats.org/spreadsheetml/2006/main" count="42" uniqueCount="42">
  <si>
    <t>專題題目</t>
  </si>
  <si>
    <t>學生姓名</t>
    <phoneticPr fontId="3" type="noConversion"/>
  </si>
  <si>
    <r>
      <rPr>
        <b/>
        <sz val="14"/>
        <color theme="1"/>
        <rFont val="標楷體"/>
        <family val="4"/>
        <charset val="136"/>
      </rPr>
      <t>小計</t>
    </r>
    <phoneticPr fontId="3" type="noConversion"/>
  </si>
  <si>
    <t>AI口罩識別系統</t>
  </si>
  <si>
    <t>劉峻廷</t>
    <phoneticPr fontId="3" type="noConversion"/>
  </si>
  <si>
    <t>AI人臉辨識訂餐</t>
  </si>
  <si>
    <t>智慧健康照護系統 CareMotion+</t>
  </si>
  <si>
    <t>葉泰佑、謝育昇、陳柏恩</t>
    <phoneticPr fontId="3" type="noConversion"/>
  </si>
  <si>
    <t>長照AI人臉辨識-照護人員陪伴及GPS與line通報系統</t>
  </si>
  <si>
    <t>劉名軒、蘇慧欣、黃芊華、李嘉鋒、林恩瑜</t>
    <phoneticPr fontId="3" type="noConversion"/>
  </si>
  <si>
    <t>AI影像辨識植物面積系統</t>
  </si>
  <si>
    <t>蔡竣鴻、劉琮渝、林弘翔</t>
    <phoneticPr fontId="3" type="noConversion"/>
  </si>
  <si>
    <t>居家安全圍籬及跌倒AI偵測</t>
  </si>
  <si>
    <t>謝金輝、陳家南、楊宗燁、羅婉庭、賴芳婕</t>
    <phoneticPr fontId="3" type="noConversion"/>
  </si>
  <si>
    <t>多功能離線翻譯工具</t>
  </si>
  <si>
    <t>吳仲崴</t>
    <phoneticPr fontId="3" type="noConversion"/>
  </si>
  <si>
    <t>交通事故頻繁，未來該如何改善</t>
  </si>
  <si>
    <t>呂林其樺</t>
    <phoneticPr fontId="3" type="noConversion"/>
  </si>
  <si>
    <t>智慧診間-AI人臉報到偵測與叫號通報系統</t>
  </si>
  <si>
    <t>許力云、劉運瑄、蔡妤謙</t>
    <phoneticPr fontId="3" type="noConversion"/>
  </si>
  <si>
    <t>Sininan原聚所 線上博物館導覽與文物數位化保存應用</t>
  </si>
  <si>
    <t>黃鏽玉、呂珮菡、平敏晶</t>
    <phoneticPr fontId="3" type="noConversion"/>
  </si>
  <si>
    <t>遊樂園預約設施系統</t>
  </si>
  <si>
    <t>彭琮佑、陳浩平、郭沂倫</t>
    <phoneticPr fontId="3" type="noConversion"/>
  </si>
  <si>
    <t>憨吉：基於大型語言模型之AI學伴系統初探</t>
  </si>
  <si>
    <t>吳逸宣、廖健安、曾俊豪</t>
    <phoneticPr fontId="3" type="noConversion"/>
  </si>
  <si>
    <t>Finance Tracking web-based application</t>
  </si>
  <si>
    <t>戴娜</t>
    <phoneticPr fontId="3" type="noConversion"/>
  </si>
  <si>
    <t>銀髮 e 共學：融合 AI 的高齡互動學習平台建構</t>
  </si>
  <si>
    <t>張孟能、周宥杰、林詩柔</t>
    <phoneticPr fontId="3" type="noConversion"/>
  </si>
  <si>
    <t>植基於安全照護需求之多功能護理約束帶系統</t>
  </si>
  <si>
    <t>周德耐、林世美、鄭如倪</t>
    <phoneticPr fontId="3" type="noConversion"/>
  </si>
  <si>
    <t>平均</t>
    <phoneticPr fontId="3" type="noConversion"/>
  </si>
  <si>
    <r>
      <rPr>
        <sz val="14"/>
        <color rgb="FF000000"/>
        <rFont val="標楷體"/>
        <family val="4"/>
        <charset val="136"/>
      </rPr>
      <t>遠距醫療成效影響因素之研究</t>
    </r>
  </si>
  <si>
    <t>林世美、周德耐、鄭如倪</t>
    <phoneticPr fontId="3" type="noConversion"/>
  </si>
  <si>
    <t>資訊組</t>
    <phoneticPr fontId="2" type="noConversion"/>
  </si>
  <si>
    <t>管理組</t>
    <phoneticPr fontId="2" type="noConversion"/>
  </si>
  <si>
    <t>2025 慈濟大學全國經營管理專題競賽評分表_資管系</t>
    <phoneticPr fontId="2" type="noConversion"/>
  </si>
  <si>
    <t>呂浩杰、劉承儫、鄭郁澄</t>
    <phoneticPr fontId="3" type="noConversion"/>
  </si>
  <si>
    <r>
      <rPr>
        <b/>
        <sz val="14"/>
        <color theme="1"/>
        <rFont val="標楷體"/>
        <family val="4"/>
        <charset val="136"/>
      </rPr>
      <t>委員</t>
    </r>
    <r>
      <rPr>
        <b/>
        <sz val="14"/>
        <color theme="1"/>
        <rFont val="Times New Roman"/>
        <family val="1"/>
      </rPr>
      <t>1</t>
    </r>
    <phoneticPr fontId="3" type="noConversion"/>
  </si>
  <si>
    <r>
      <rPr>
        <b/>
        <sz val="14"/>
        <color theme="1"/>
        <rFont val="標楷體"/>
        <family val="4"/>
        <charset val="136"/>
      </rPr>
      <t>委員</t>
    </r>
    <r>
      <rPr>
        <b/>
        <sz val="14"/>
        <color theme="1"/>
        <rFont val="Times New Roman"/>
        <family val="1"/>
      </rPr>
      <t>2</t>
    </r>
    <phoneticPr fontId="3" type="noConversion"/>
  </si>
  <si>
    <r>
      <rPr>
        <b/>
        <sz val="14"/>
        <color theme="1"/>
        <rFont val="標楷體"/>
        <family val="4"/>
        <charset val="136"/>
      </rPr>
      <t>委員</t>
    </r>
    <r>
      <rPr>
        <b/>
        <sz val="14"/>
        <color theme="1"/>
        <rFont val="Times New Roman"/>
        <family val="1"/>
      </rPr>
      <t>3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</si>
</sst>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4"/>
      <color rgb="FF1F1F1F"/>
      <name val="DFKai-SB"/>
      <family val="4"/>
      <charset val="136"/>
    </font>
    <font>
      <b/>
      <sz val="14"/>
      <color theme="1"/>
      <name val="DFKai-SB"/>
      <family val="4"/>
      <charset val="136"/>
    </font>
    <font>
      <b/>
      <sz val="14"/>
      <color theme="1"/>
      <name val="MingLiU"/>
      <family val="3"/>
      <charset val="136"/>
    </font>
    <font>
      <b/>
      <sz val="14"/>
      <color theme="1"/>
      <name val="Times New Roman"/>
      <family val="1"/>
    </font>
    <font>
      <b/>
      <sz val="14"/>
      <color theme="1"/>
      <name val="標楷體"/>
      <family val="4"/>
      <charset val="136"/>
    </font>
    <font>
      <sz val="14"/>
      <color rgb="FF000000"/>
      <name val="DFKai-SB"/>
      <family val="4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sz val="12"/>
      <color theme="1"/>
      <name val="標楷體"/>
      <family val="4"/>
      <charset val="136"/>
    </font>
    <font>
      <sz val="16"/>
      <color rgb="FF000000"/>
      <name val="標楷體"/>
      <family val="4"/>
      <charset val="136"/>
    </font>
    <font>
      <b/>
      <sz val="14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2" xfId="0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4" fillId="3" borderId="3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17BD-9E5C-4953-BEAF-85ADDD12E9FA}">
  <dimension ref="A1:J18"/>
  <sheetViews>
    <sheetView tabSelected="1" workbookViewId="0">
      <selection activeCell="N8" sqref="N8"/>
    </sheetView>
  </sheetViews>
  <sheetFormatPr defaultRowHeight="16.2"/>
  <cols>
    <col min="1" max="1" width="0.21875" customWidth="1"/>
    <col min="2" max="2" width="9.44140625" style="22" customWidth="1"/>
    <col min="3" max="3" width="40.33203125" customWidth="1"/>
    <col min="5" max="5" width="22.109375" customWidth="1"/>
    <col min="6" max="6" width="12.44140625" customWidth="1"/>
    <col min="7" max="7" width="12.6640625" customWidth="1"/>
    <col min="8" max="8" width="12.5546875" customWidth="1"/>
    <col min="9" max="9" width="10.77734375" customWidth="1"/>
    <col min="10" max="10" width="13.21875" style="27" customWidth="1"/>
  </cols>
  <sheetData>
    <row r="1" spans="1:10" ht="22.2">
      <c r="A1" s="23" t="s">
        <v>37</v>
      </c>
      <c r="B1" s="24"/>
      <c r="C1" s="24"/>
      <c r="D1" s="24"/>
      <c r="E1" s="24"/>
      <c r="F1" s="24"/>
      <c r="G1" s="24"/>
      <c r="H1" s="24"/>
      <c r="I1" s="24"/>
      <c r="J1" s="25"/>
    </row>
    <row r="2" spans="1:10" ht="19.8">
      <c r="A2" s="9"/>
      <c r="B2" s="17"/>
      <c r="C2" s="2" t="s">
        <v>0</v>
      </c>
      <c r="D2" s="3" t="s">
        <v>1</v>
      </c>
      <c r="E2" s="1"/>
      <c r="F2" s="5" t="s">
        <v>39</v>
      </c>
      <c r="G2" s="5" t="s">
        <v>40</v>
      </c>
      <c r="H2" s="5" t="s">
        <v>41</v>
      </c>
      <c r="I2" s="5" t="s">
        <v>2</v>
      </c>
      <c r="J2" s="4" t="s">
        <v>32</v>
      </c>
    </row>
    <row r="3" spans="1:10" ht="35.4" customHeight="1">
      <c r="B3" s="21" t="s">
        <v>36</v>
      </c>
      <c r="C3" s="15" t="s">
        <v>33</v>
      </c>
      <c r="D3" s="13" t="s">
        <v>34</v>
      </c>
      <c r="E3" s="14"/>
      <c r="F3" s="11">
        <v>95</v>
      </c>
      <c r="G3" s="11">
        <v>95</v>
      </c>
      <c r="H3" s="11">
        <v>96</v>
      </c>
      <c r="I3" s="11">
        <f t="shared" ref="I3" si="0">SUM(F3:H3)</f>
        <v>286</v>
      </c>
      <c r="J3" s="26">
        <f t="shared" ref="J3:J18" si="1">ROUND(I3/3,0)</f>
        <v>95</v>
      </c>
    </row>
    <row r="4" spans="1:10" ht="19.8">
      <c r="A4" s="6"/>
      <c r="B4" s="18" t="s">
        <v>35</v>
      </c>
      <c r="C4" s="10" t="s">
        <v>3</v>
      </c>
      <c r="D4" s="13" t="s">
        <v>4</v>
      </c>
      <c r="E4" s="14"/>
      <c r="F4" s="15">
        <v>76</v>
      </c>
      <c r="G4" s="15">
        <v>80</v>
      </c>
      <c r="H4" s="15">
        <v>81</v>
      </c>
      <c r="I4" s="15">
        <f t="shared" ref="I4:I18" si="2">SUM(F4:H4)</f>
        <v>237</v>
      </c>
      <c r="J4" s="26">
        <f>ROUND(I4/3,0)</f>
        <v>79</v>
      </c>
    </row>
    <row r="5" spans="1:10" ht="19.8">
      <c r="A5" s="7"/>
      <c r="B5" s="19"/>
      <c r="C5" s="10" t="s">
        <v>5</v>
      </c>
      <c r="D5" s="13" t="s">
        <v>38</v>
      </c>
      <c r="E5" s="14"/>
      <c r="F5" s="15">
        <v>79</v>
      </c>
      <c r="G5" s="15">
        <v>85</v>
      </c>
      <c r="H5" s="15">
        <v>83</v>
      </c>
      <c r="I5" s="15">
        <f t="shared" si="2"/>
        <v>247</v>
      </c>
      <c r="J5" s="26">
        <f t="shared" si="1"/>
        <v>82</v>
      </c>
    </row>
    <row r="6" spans="1:10" ht="19.8">
      <c r="A6" s="7"/>
      <c r="B6" s="19"/>
      <c r="C6" s="12" t="s">
        <v>6</v>
      </c>
      <c r="D6" s="13" t="s">
        <v>7</v>
      </c>
      <c r="E6" s="14"/>
      <c r="F6" s="15">
        <v>88</v>
      </c>
      <c r="G6" s="15">
        <v>89</v>
      </c>
      <c r="H6" s="15">
        <v>92</v>
      </c>
      <c r="I6" s="15">
        <f t="shared" si="2"/>
        <v>269</v>
      </c>
      <c r="J6" s="26">
        <f t="shared" si="1"/>
        <v>90</v>
      </c>
    </row>
    <row r="7" spans="1:10" ht="39.6">
      <c r="A7" s="7"/>
      <c r="B7" s="19"/>
      <c r="C7" s="10" t="s">
        <v>8</v>
      </c>
      <c r="D7" s="13" t="s">
        <v>9</v>
      </c>
      <c r="E7" s="14"/>
      <c r="F7" s="15">
        <v>91</v>
      </c>
      <c r="G7" s="15">
        <v>90</v>
      </c>
      <c r="H7" s="15">
        <v>93</v>
      </c>
      <c r="I7" s="15">
        <f t="shared" si="2"/>
        <v>274</v>
      </c>
      <c r="J7" s="26">
        <f t="shared" si="1"/>
        <v>91</v>
      </c>
    </row>
    <row r="8" spans="1:10" ht="19.8">
      <c r="A8" s="7"/>
      <c r="B8" s="19"/>
      <c r="C8" s="10" t="s">
        <v>10</v>
      </c>
      <c r="D8" s="13" t="s">
        <v>11</v>
      </c>
      <c r="E8" s="14"/>
      <c r="F8" s="15">
        <v>86</v>
      </c>
      <c r="G8" s="15">
        <v>84</v>
      </c>
      <c r="H8" s="15">
        <v>86</v>
      </c>
      <c r="I8" s="15">
        <f t="shared" si="2"/>
        <v>256</v>
      </c>
      <c r="J8" s="26">
        <f t="shared" si="1"/>
        <v>85</v>
      </c>
    </row>
    <row r="9" spans="1:10" ht="19.8">
      <c r="A9" s="7"/>
      <c r="B9" s="19"/>
      <c r="C9" s="10" t="s">
        <v>12</v>
      </c>
      <c r="D9" s="13" t="s">
        <v>13</v>
      </c>
      <c r="E9" s="14"/>
      <c r="F9" s="15">
        <v>92</v>
      </c>
      <c r="G9" s="15">
        <v>90</v>
      </c>
      <c r="H9" s="15">
        <v>94</v>
      </c>
      <c r="I9" s="15">
        <f t="shared" si="2"/>
        <v>276</v>
      </c>
      <c r="J9" s="26">
        <f t="shared" si="1"/>
        <v>92</v>
      </c>
    </row>
    <row r="10" spans="1:10" ht="19.8">
      <c r="A10" s="7"/>
      <c r="B10" s="19"/>
      <c r="C10" s="10" t="s">
        <v>14</v>
      </c>
      <c r="D10" s="13" t="s">
        <v>15</v>
      </c>
      <c r="E10" s="14"/>
      <c r="F10" s="16">
        <v>92</v>
      </c>
      <c r="G10" s="16">
        <v>86</v>
      </c>
      <c r="H10" s="16">
        <v>90</v>
      </c>
      <c r="I10" s="15">
        <f t="shared" si="2"/>
        <v>268</v>
      </c>
      <c r="J10" s="26">
        <f t="shared" si="1"/>
        <v>89</v>
      </c>
    </row>
    <row r="11" spans="1:10" ht="19.8">
      <c r="A11" s="7"/>
      <c r="B11" s="19"/>
      <c r="C11" s="10" t="s">
        <v>16</v>
      </c>
      <c r="D11" s="13" t="s">
        <v>17</v>
      </c>
      <c r="E11" s="14"/>
      <c r="F11" s="12">
        <v>66</v>
      </c>
      <c r="G11" s="12">
        <v>79</v>
      </c>
      <c r="H11" s="12">
        <v>65</v>
      </c>
      <c r="I11" s="15">
        <f t="shared" si="2"/>
        <v>210</v>
      </c>
      <c r="J11" s="26">
        <f t="shared" si="1"/>
        <v>70</v>
      </c>
    </row>
    <row r="12" spans="1:10" ht="39.6">
      <c r="A12" s="7"/>
      <c r="B12" s="19"/>
      <c r="C12" s="12" t="s">
        <v>18</v>
      </c>
      <c r="D12" s="13" t="s">
        <v>19</v>
      </c>
      <c r="E12" s="14"/>
      <c r="F12" s="12">
        <v>91</v>
      </c>
      <c r="G12" s="12">
        <v>89</v>
      </c>
      <c r="H12" s="12">
        <v>91</v>
      </c>
      <c r="I12" s="15">
        <f t="shared" si="2"/>
        <v>271</v>
      </c>
      <c r="J12" s="26">
        <f t="shared" si="1"/>
        <v>90</v>
      </c>
    </row>
    <row r="13" spans="1:10" ht="39.6">
      <c r="A13" s="7"/>
      <c r="B13" s="19"/>
      <c r="C13" s="10" t="s">
        <v>20</v>
      </c>
      <c r="D13" s="13" t="s">
        <v>21</v>
      </c>
      <c r="E13" s="14"/>
      <c r="F13" s="12">
        <v>86</v>
      </c>
      <c r="G13" s="12">
        <v>84</v>
      </c>
      <c r="H13" s="12">
        <v>89</v>
      </c>
      <c r="I13" s="15">
        <f t="shared" si="2"/>
        <v>259</v>
      </c>
      <c r="J13" s="26">
        <f t="shared" si="1"/>
        <v>86</v>
      </c>
    </row>
    <row r="14" spans="1:10" ht="19.8">
      <c r="A14" s="7"/>
      <c r="B14" s="19"/>
      <c r="C14" s="10" t="s">
        <v>22</v>
      </c>
      <c r="D14" s="13" t="s">
        <v>23</v>
      </c>
      <c r="E14" s="14"/>
      <c r="F14" s="12">
        <v>84</v>
      </c>
      <c r="G14" s="12">
        <v>83</v>
      </c>
      <c r="H14" s="12">
        <v>87</v>
      </c>
      <c r="I14" s="15">
        <f t="shared" si="2"/>
        <v>254</v>
      </c>
      <c r="J14" s="26">
        <f t="shared" si="1"/>
        <v>85</v>
      </c>
    </row>
    <row r="15" spans="1:10" ht="39.6">
      <c r="A15" s="7"/>
      <c r="B15" s="19"/>
      <c r="C15" s="10" t="s">
        <v>24</v>
      </c>
      <c r="D15" s="13" t="s">
        <v>25</v>
      </c>
      <c r="E15" s="14"/>
      <c r="F15" s="12">
        <v>88</v>
      </c>
      <c r="G15" s="12">
        <v>87</v>
      </c>
      <c r="H15" s="12">
        <v>88</v>
      </c>
      <c r="I15" s="15">
        <f t="shared" si="2"/>
        <v>263</v>
      </c>
      <c r="J15" s="26">
        <f t="shared" si="1"/>
        <v>88</v>
      </c>
    </row>
    <row r="16" spans="1:10" ht="39.6">
      <c r="A16" s="7"/>
      <c r="B16" s="19"/>
      <c r="C16" s="10" t="s">
        <v>26</v>
      </c>
      <c r="D16" s="13" t="s">
        <v>27</v>
      </c>
      <c r="E16" s="14"/>
      <c r="F16" s="12">
        <v>84</v>
      </c>
      <c r="G16" s="12">
        <v>82</v>
      </c>
      <c r="H16" s="12">
        <v>88</v>
      </c>
      <c r="I16" s="15">
        <f t="shared" si="2"/>
        <v>254</v>
      </c>
      <c r="J16" s="26">
        <f t="shared" si="1"/>
        <v>85</v>
      </c>
    </row>
    <row r="17" spans="1:10" ht="39.6">
      <c r="A17" s="7"/>
      <c r="B17" s="19"/>
      <c r="C17" s="10" t="s">
        <v>28</v>
      </c>
      <c r="D17" s="13" t="s">
        <v>29</v>
      </c>
      <c r="E17" s="14"/>
      <c r="F17" s="12">
        <v>79</v>
      </c>
      <c r="G17" s="12">
        <v>82</v>
      </c>
      <c r="H17" s="12">
        <v>82</v>
      </c>
      <c r="I17" s="15">
        <f t="shared" si="2"/>
        <v>243</v>
      </c>
      <c r="J17" s="26">
        <f t="shared" si="1"/>
        <v>81</v>
      </c>
    </row>
    <row r="18" spans="1:10" ht="39.6">
      <c r="A18" s="8"/>
      <c r="B18" s="20"/>
      <c r="C18" s="10" t="s">
        <v>30</v>
      </c>
      <c r="D18" s="13" t="s">
        <v>31</v>
      </c>
      <c r="E18" s="14"/>
      <c r="F18" s="12">
        <v>86</v>
      </c>
      <c r="G18" s="12">
        <v>89</v>
      </c>
      <c r="H18" s="12">
        <v>92</v>
      </c>
      <c r="I18" s="15">
        <f t="shared" si="2"/>
        <v>267</v>
      </c>
      <c r="J18" s="26">
        <f t="shared" si="1"/>
        <v>89</v>
      </c>
    </row>
  </sheetData>
  <mergeCells count="20">
    <mergeCell ref="B4:B18"/>
    <mergeCell ref="D3:E3"/>
    <mergeCell ref="D16:E16"/>
    <mergeCell ref="D17:E17"/>
    <mergeCell ref="D18:E18"/>
    <mergeCell ref="D10:E10"/>
    <mergeCell ref="D11:E11"/>
    <mergeCell ref="D12:E12"/>
    <mergeCell ref="D13:E13"/>
    <mergeCell ref="D14:E14"/>
    <mergeCell ref="D15:E15"/>
    <mergeCell ref="A1:J1"/>
    <mergeCell ref="D2:E2"/>
    <mergeCell ref="A4:A18"/>
    <mergeCell ref="D4:E4"/>
    <mergeCell ref="D5:E5"/>
    <mergeCell ref="D6:E6"/>
    <mergeCell ref="D7:E7"/>
    <mergeCell ref="D8:E8"/>
    <mergeCell ref="D9:E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2025-06-06T13:35:26Z</dcterms:created>
  <dcterms:modified xsi:type="dcterms:W3CDTF">2025-06-06T14:14:17Z</dcterms:modified>
</cp:coreProperties>
</file>