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ooouuu\OneDrive\桌面\"/>
    </mc:Choice>
  </mc:AlternateContent>
  <xr:revisionPtr revIDLastSave="0" documentId="13_ncr:1_{0292BA41-2EF5-4531-A25D-A4B158385A5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工作表1" sheetId="1" r:id="rId1"/>
    <sheet name="工作表2" sheetId="2" r:id="rId2"/>
    <sheet name="工作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18" i="1"/>
  <c r="D19" i="1" s="1"/>
  <c r="D20" i="1" s="1"/>
  <c r="D11" i="1"/>
  <c r="D12" i="1" s="1"/>
  <c r="D13" i="1" s="1"/>
  <c r="D14" i="1" s="1"/>
  <c r="D15" i="1" s="1"/>
  <c r="D4" i="1"/>
  <c r="D5" i="1" s="1"/>
  <c r="D6" i="1" s="1"/>
  <c r="D7" i="1" s="1"/>
  <c r="D8" i="1" s="1"/>
</calcChain>
</file>

<file path=xl/sharedStrings.xml><?xml version="1.0" encoding="utf-8"?>
<sst xmlns="http://schemas.openxmlformats.org/spreadsheetml/2006/main" count="66" uniqueCount="51">
  <si>
    <t>場次</t>
  </si>
  <si>
    <t>專題題目</t>
  </si>
  <si>
    <t>報告方式</t>
  </si>
  <si>
    <t>場次一</t>
  </si>
  <si>
    <t>3、線上報告 (非花蓮地區選手)</t>
  </si>
  <si>
    <t>1、花蓮地區選手-現場報告</t>
  </si>
  <si>
    <t>場次三</t>
  </si>
  <si>
    <t>場次二</t>
    <phoneticPr fontId="2" type="noConversion"/>
  </si>
  <si>
    <t>資訊組</t>
    <phoneticPr fontId="2" type="noConversion"/>
  </si>
  <si>
    <t>報告
(開始時間)</t>
    <phoneticPr fontId="2" type="noConversion"/>
  </si>
  <si>
    <t>探索驚喜，精明消費：盲盒商品比價系統設計與實作</t>
  </si>
  <si>
    <t>原氏物語-台灣原住民圖騰拼圖APP</t>
    <phoneticPr fontId="2" type="noConversion"/>
  </si>
  <si>
    <t>AI健身教練</t>
    <phoneticPr fontId="2" type="noConversion"/>
  </si>
  <si>
    <t>智慧居家防災系統</t>
    <phoneticPr fontId="2" type="noConversion"/>
  </si>
  <si>
    <t>2、現場報告 (非花蓮地區選手)</t>
    <phoneticPr fontId="2" type="noConversion"/>
  </si>
  <si>
    <t>AI口罩識別系統</t>
    <phoneticPr fontId="2" type="noConversion"/>
  </si>
  <si>
    <t>AI人臉辨識訂餐</t>
    <phoneticPr fontId="2" type="noConversion"/>
  </si>
  <si>
    <t>智慧健康照護系統  CareMotion+</t>
    <phoneticPr fontId="2" type="noConversion"/>
  </si>
  <si>
    <t>長照AI人臉辨識-照護人員陪伴及GPS與line通報系統</t>
    <phoneticPr fontId="2" type="noConversion"/>
  </si>
  <si>
    <t>AI影像辨識植物面積系統</t>
    <phoneticPr fontId="2" type="noConversion"/>
  </si>
  <si>
    <t>居家安全圍籬及跌倒AI偵測</t>
    <phoneticPr fontId="2" type="noConversion"/>
  </si>
  <si>
    <t>多功能離線翻譯工具</t>
    <phoneticPr fontId="2" type="noConversion"/>
  </si>
  <si>
    <t>交通事故頻繁，未來該如何改善</t>
    <phoneticPr fontId="2" type="noConversion"/>
  </si>
  <si>
    <t>2025全國經營管理專題競賽-資訊組報告順序</t>
    <phoneticPr fontId="2" type="noConversion"/>
  </si>
  <si>
    <t>智慧診間-AI人臉報到偵測與叫號通報系統</t>
    <phoneticPr fontId="2" type="noConversion"/>
  </si>
  <si>
    <t>Sininan原聚所 線上博物館導覽與文物數位化保存應用</t>
    <phoneticPr fontId="2" type="noConversion"/>
  </si>
  <si>
    <t>遊樂園預約設施系統</t>
    <phoneticPr fontId="2" type="noConversion"/>
  </si>
  <si>
    <t>憨吉：基於大型語言模型之AI學伴系統初探</t>
    <phoneticPr fontId="2" type="noConversion"/>
  </si>
  <si>
    <t>銀髮 e 共學：融合 AI 的高齡互動學習平台建構</t>
    <phoneticPr fontId="2" type="noConversion"/>
  </si>
  <si>
    <t>植基於安全照護需求之多功能護理約束帶系統</t>
    <phoneticPr fontId="2" type="noConversion"/>
  </si>
  <si>
    <t>周胤琤</t>
    <phoneticPr fontId="2" type="noConversion"/>
  </si>
  <si>
    <t>吳澤滄，紀瀧峮，王海華，林彥語，呂梓宏，涂茵棋</t>
    <phoneticPr fontId="2" type="noConversion"/>
  </si>
  <si>
    <t>劉峻廷</t>
    <phoneticPr fontId="2" type="noConversion"/>
  </si>
  <si>
    <t>呂浩杰，劉承儫，鄭郁澄</t>
    <phoneticPr fontId="2" type="noConversion"/>
  </si>
  <si>
    <t>劉名軒，黃芊華，蘇慧欣，李嘉鋒，林恩瑜</t>
    <phoneticPr fontId="2" type="noConversion"/>
  </si>
  <si>
    <t>Finance Tracking web-based application</t>
    <phoneticPr fontId="2" type="noConversion"/>
  </si>
  <si>
    <t>1、花蓮地區選手-現場報告</t>
    <phoneticPr fontId="2" type="noConversion"/>
  </si>
  <si>
    <t>蔡竣鴻，劉琮渝，林弘翔</t>
    <phoneticPr fontId="2" type="noConversion"/>
  </si>
  <si>
    <t>張孟涵，劉芷妘</t>
    <phoneticPr fontId="2" type="noConversion"/>
  </si>
  <si>
    <t>謝金輝，陳家南，楊宗燁，羅婉庭，賴芳婕</t>
    <phoneticPr fontId="2" type="noConversion"/>
  </si>
  <si>
    <t>吳仲崴</t>
    <phoneticPr fontId="2" type="noConversion"/>
  </si>
  <si>
    <t>呂林其樺</t>
  </si>
  <si>
    <t>戴娜</t>
  </si>
  <si>
    <t>周德耐，林世美，鄭如倪</t>
    <phoneticPr fontId="2" type="noConversion"/>
  </si>
  <si>
    <t>張孟能，周宥杰，林詩柔，楊沚惠，黃翊綺，陳泠予</t>
    <phoneticPr fontId="2" type="noConversion"/>
  </si>
  <si>
    <t>吳逸宣，廖健安，曾俊豪</t>
    <phoneticPr fontId="2" type="noConversion"/>
  </si>
  <si>
    <t>彭琮佑，陳浩平，郭沂倫</t>
    <phoneticPr fontId="2" type="noConversion"/>
  </si>
  <si>
    <t>許力云，劉運瑄，蔡妤謙</t>
    <phoneticPr fontId="2" type="noConversion"/>
  </si>
  <si>
    <t>葉泰佑，謝育昇，陳柏恩</t>
    <phoneticPr fontId="2" type="noConversion"/>
  </si>
  <si>
    <t>黃鏽玉，呂珮菡，平敏晶</t>
    <phoneticPr fontId="2" type="noConversion"/>
  </si>
  <si>
    <t>白筑元，李學閎，張哲綸，李秉諭，洪貫薺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</si>
</sst>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4"/>
      <color rgb="FF1F1F1F"/>
      <name val="DFKai-SB"/>
      <family val="4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DFKai-SB"/>
      <family val="4"/>
      <charset val="136"/>
    </font>
    <font>
      <sz val="14"/>
      <color theme="1"/>
      <name val="DFKai-SB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topLeftCell="E15" zoomScaleNormal="100" workbookViewId="0">
      <selection activeCell="F8" sqref="F8"/>
    </sheetView>
  </sheetViews>
  <sheetFormatPr defaultRowHeight="16.2"/>
  <cols>
    <col min="2" max="2" width="13.44140625" customWidth="1"/>
    <col min="3" max="3" width="38.77734375" bestFit="1" customWidth="1"/>
    <col min="4" max="4" width="15.44140625" customWidth="1"/>
    <col min="5" max="5" width="38.6640625" customWidth="1"/>
    <col min="6" max="6" width="56.77734375" style="19" bestFit="1" customWidth="1"/>
    <col min="7" max="7" width="16.109375" customWidth="1"/>
  </cols>
  <sheetData>
    <row r="1" spans="1:7" ht="30.6" customHeight="1">
      <c r="A1" s="13" t="s">
        <v>23</v>
      </c>
      <c r="B1" s="14"/>
      <c r="C1" s="14"/>
      <c r="D1" s="14"/>
      <c r="E1" s="15"/>
    </row>
    <row r="2" spans="1:7" ht="43.8" customHeight="1">
      <c r="A2" s="6" t="s">
        <v>0</v>
      </c>
      <c r="B2" s="6" t="s">
        <v>8</v>
      </c>
      <c r="C2" s="6" t="s">
        <v>1</v>
      </c>
      <c r="D2" s="7" t="s">
        <v>9</v>
      </c>
      <c r="E2" s="7" t="s">
        <v>2</v>
      </c>
    </row>
    <row r="3" spans="1:7" ht="39.6">
      <c r="A3" s="16" t="s">
        <v>3</v>
      </c>
      <c r="B3" s="1">
        <v>1</v>
      </c>
      <c r="C3" s="8" t="s">
        <v>10</v>
      </c>
      <c r="D3" s="2">
        <v>0.41666666666666669</v>
      </c>
      <c r="E3" s="3" t="s">
        <v>4</v>
      </c>
      <c r="F3" s="20" t="s">
        <v>30</v>
      </c>
      <c r="G3" s="10"/>
    </row>
    <row r="4" spans="1:7" ht="39.6">
      <c r="A4" s="17"/>
      <c r="B4" s="1">
        <v>2</v>
      </c>
      <c r="C4" s="8" t="s">
        <v>11</v>
      </c>
      <c r="D4" s="2">
        <f t="shared" ref="D4:D8" si="0">D3 + TIME(0,10,0)</f>
        <v>0.4236111111111111</v>
      </c>
      <c r="E4" s="3" t="s">
        <v>4</v>
      </c>
      <c r="F4" s="19" t="s">
        <v>38</v>
      </c>
      <c r="G4" s="11"/>
    </row>
    <row r="5" spans="1:7" ht="19.8">
      <c r="A5" s="17"/>
      <c r="B5" s="1">
        <v>3</v>
      </c>
      <c r="C5" s="8" t="s">
        <v>12</v>
      </c>
      <c r="D5" s="2">
        <f t="shared" si="0"/>
        <v>0.43055555555555552</v>
      </c>
      <c r="E5" s="3" t="s">
        <v>4</v>
      </c>
      <c r="F5" s="20" t="s">
        <v>31</v>
      </c>
      <c r="G5" s="12"/>
    </row>
    <row r="6" spans="1:7" ht="19.8">
      <c r="A6" s="17"/>
      <c r="B6" s="1">
        <v>4</v>
      </c>
      <c r="C6" s="8" t="s">
        <v>13</v>
      </c>
      <c r="D6" s="2">
        <f t="shared" si="0"/>
        <v>0.43749999999999994</v>
      </c>
      <c r="E6" s="3" t="s">
        <v>14</v>
      </c>
      <c r="F6" s="19" t="s">
        <v>50</v>
      </c>
    </row>
    <row r="7" spans="1:7" ht="19.8">
      <c r="A7" s="17"/>
      <c r="B7" s="1">
        <v>5</v>
      </c>
      <c r="C7" s="8" t="s">
        <v>15</v>
      </c>
      <c r="D7" s="2">
        <f t="shared" si="0"/>
        <v>0.44444444444444436</v>
      </c>
      <c r="E7" s="3" t="s">
        <v>5</v>
      </c>
      <c r="F7" s="20" t="s">
        <v>32</v>
      </c>
    </row>
    <row r="8" spans="1:7" ht="19.8">
      <c r="A8" s="18"/>
      <c r="B8" s="1">
        <v>6</v>
      </c>
      <c r="C8" s="8" t="s">
        <v>16</v>
      </c>
      <c r="D8" s="2">
        <f t="shared" si="0"/>
        <v>0.45138888888888878</v>
      </c>
      <c r="E8" s="3" t="s">
        <v>5</v>
      </c>
      <c r="F8" s="19" t="s">
        <v>33</v>
      </c>
    </row>
    <row r="9" spans="1:7" ht="19.8">
      <c r="A9" s="4"/>
      <c r="B9" s="4"/>
      <c r="C9" s="9"/>
      <c r="D9" s="4"/>
      <c r="E9" s="5"/>
    </row>
    <row r="10" spans="1:7" ht="39.6">
      <c r="A10" s="16" t="s">
        <v>7</v>
      </c>
      <c r="B10" s="1">
        <v>1</v>
      </c>
      <c r="C10" s="8" t="s">
        <v>17</v>
      </c>
      <c r="D10" s="2">
        <v>0.46527777777777779</v>
      </c>
      <c r="E10" s="3" t="s">
        <v>5</v>
      </c>
      <c r="F10" s="19" t="s">
        <v>48</v>
      </c>
    </row>
    <row r="11" spans="1:7" ht="39.6">
      <c r="A11" s="17"/>
      <c r="B11" s="1">
        <v>2</v>
      </c>
      <c r="C11" s="8" t="s">
        <v>18</v>
      </c>
      <c r="D11" s="2">
        <f t="shared" ref="D11:D15" si="1">D10 + TIME(0,10,0)</f>
        <v>0.47222222222222221</v>
      </c>
      <c r="E11" s="3" t="s">
        <v>5</v>
      </c>
      <c r="F11" s="19" t="s">
        <v>34</v>
      </c>
    </row>
    <row r="12" spans="1:7" ht="19.8">
      <c r="A12" s="17"/>
      <c r="B12" s="1">
        <v>3</v>
      </c>
      <c r="C12" s="8" t="s">
        <v>19</v>
      </c>
      <c r="D12" s="2">
        <f t="shared" si="1"/>
        <v>0.47916666666666663</v>
      </c>
      <c r="E12" s="3" t="s">
        <v>5</v>
      </c>
      <c r="F12" s="19" t="s">
        <v>37</v>
      </c>
    </row>
    <row r="13" spans="1:7" ht="19.8">
      <c r="A13" s="17"/>
      <c r="B13" s="1">
        <v>4</v>
      </c>
      <c r="C13" s="8" t="s">
        <v>20</v>
      </c>
      <c r="D13" s="2">
        <f t="shared" si="1"/>
        <v>0.48611111111111105</v>
      </c>
      <c r="E13" s="3" t="s">
        <v>5</v>
      </c>
      <c r="F13" s="19" t="s">
        <v>39</v>
      </c>
    </row>
    <row r="14" spans="1:7" ht="19.8">
      <c r="A14" s="17"/>
      <c r="B14" s="1">
        <v>5</v>
      </c>
      <c r="C14" s="8" t="s">
        <v>21</v>
      </c>
      <c r="D14" s="2">
        <f t="shared" si="1"/>
        <v>0.49305555555555547</v>
      </c>
      <c r="E14" s="3" t="s">
        <v>5</v>
      </c>
      <c r="F14" s="19" t="s">
        <v>40</v>
      </c>
    </row>
    <row r="15" spans="1:7" ht="19.8">
      <c r="A15" s="18"/>
      <c r="B15" s="1">
        <v>6</v>
      </c>
      <c r="C15" s="8" t="s">
        <v>22</v>
      </c>
      <c r="D15" s="2">
        <f t="shared" si="1"/>
        <v>0.49999999999999989</v>
      </c>
      <c r="E15" s="3" t="s">
        <v>5</v>
      </c>
      <c r="F15" s="19" t="s">
        <v>41</v>
      </c>
    </row>
    <row r="16" spans="1:7" ht="19.8">
      <c r="A16" s="4"/>
      <c r="B16" s="4"/>
      <c r="C16" s="9"/>
      <c r="D16" s="4"/>
      <c r="E16" s="5"/>
    </row>
    <row r="17" spans="1:6" ht="39.6">
      <c r="A17" s="16" t="s">
        <v>6</v>
      </c>
      <c r="B17" s="1">
        <v>1</v>
      </c>
      <c r="C17" s="8" t="s">
        <v>24</v>
      </c>
      <c r="D17" s="2">
        <v>0.5625</v>
      </c>
      <c r="E17" s="3" t="s">
        <v>5</v>
      </c>
      <c r="F17" s="19" t="s">
        <v>47</v>
      </c>
    </row>
    <row r="18" spans="1:6" ht="39.6">
      <c r="A18" s="17"/>
      <c r="B18" s="1">
        <v>2</v>
      </c>
      <c r="C18" s="8" t="s">
        <v>25</v>
      </c>
      <c r="D18" s="2">
        <f t="shared" ref="D18:D19" si="2">D17 + TIME(0,10,0)</f>
        <v>0.56944444444444442</v>
      </c>
      <c r="E18" s="3" t="s">
        <v>5</v>
      </c>
      <c r="F18" s="19" t="s">
        <v>49</v>
      </c>
    </row>
    <row r="19" spans="1:6" ht="19.8">
      <c r="A19" s="17"/>
      <c r="B19" s="1">
        <v>3</v>
      </c>
      <c r="C19" s="8" t="s">
        <v>26</v>
      </c>
      <c r="D19" s="2">
        <f t="shared" si="2"/>
        <v>0.57638888888888884</v>
      </c>
      <c r="E19" s="3" t="s">
        <v>5</v>
      </c>
      <c r="F19" s="19" t="s">
        <v>46</v>
      </c>
    </row>
    <row r="20" spans="1:6" ht="39.6">
      <c r="A20" s="17"/>
      <c r="B20" s="1">
        <v>4</v>
      </c>
      <c r="C20" s="8" t="s">
        <v>27</v>
      </c>
      <c r="D20" s="2">
        <f>D19 + TIME(0,10,0)</f>
        <v>0.58333333333333326</v>
      </c>
      <c r="E20" s="3" t="s">
        <v>5</v>
      </c>
      <c r="F20" s="19" t="s">
        <v>45</v>
      </c>
    </row>
    <row r="21" spans="1:6" ht="39.6">
      <c r="A21" s="17"/>
      <c r="B21" s="1">
        <v>5</v>
      </c>
      <c r="C21" s="8" t="s">
        <v>35</v>
      </c>
      <c r="D21" s="2">
        <f>D20 + TIME(0,10,0)</f>
        <v>0.59027777777777768</v>
      </c>
      <c r="E21" s="3" t="s">
        <v>36</v>
      </c>
      <c r="F21" s="19" t="s">
        <v>42</v>
      </c>
    </row>
    <row r="22" spans="1:6" ht="39.6">
      <c r="A22" s="17"/>
      <c r="B22" s="1">
        <v>6</v>
      </c>
      <c r="C22" s="8" t="s">
        <v>28</v>
      </c>
      <c r="D22" s="2">
        <f>D21 + TIME(0,10,0)</f>
        <v>0.5972222222222221</v>
      </c>
      <c r="E22" s="3" t="s">
        <v>36</v>
      </c>
      <c r="F22" s="19" t="s">
        <v>44</v>
      </c>
    </row>
    <row r="23" spans="1:6" ht="39.6">
      <c r="A23" s="18"/>
      <c r="B23" s="1">
        <v>7</v>
      </c>
      <c r="C23" s="8" t="s">
        <v>29</v>
      </c>
      <c r="D23" s="2">
        <f>D22 + TIME(0,10,0)</f>
        <v>0.60416666666666652</v>
      </c>
      <c r="E23" s="3" t="s">
        <v>36</v>
      </c>
      <c r="F23" s="19" t="s">
        <v>43</v>
      </c>
    </row>
  </sheetData>
  <mergeCells count="4">
    <mergeCell ref="A1:E1"/>
    <mergeCell ref="A3:A8"/>
    <mergeCell ref="A10:A15"/>
    <mergeCell ref="A17:A23"/>
  </mergeCells>
  <phoneticPr fontId="2" type="noConversion"/>
  <pageMargins left="0.7" right="0.7" top="0.75" bottom="0.75" header="0.3" footer="0.3"/>
  <pageSetup paperSize="9" scale="7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</dc:creator>
  <cp:lastModifiedBy>jufth hgisf</cp:lastModifiedBy>
  <cp:lastPrinted>2024-06-07T00:00:26Z</cp:lastPrinted>
  <dcterms:created xsi:type="dcterms:W3CDTF">2024-06-05T01:56:51Z</dcterms:created>
  <dcterms:modified xsi:type="dcterms:W3CDTF">2025-05-31T13:29:03Z</dcterms:modified>
</cp:coreProperties>
</file>