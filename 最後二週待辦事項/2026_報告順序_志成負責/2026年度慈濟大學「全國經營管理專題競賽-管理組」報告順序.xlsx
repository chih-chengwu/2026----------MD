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2.服務\000.科管系工作事項\0.2026全國專題競賽\2026全國經營管理專題競賽MD\最後二週待辦事項\2026_報告順序_志成負責\"/>
    </mc:Choice>
  </mc:AlternateContent>
  <xr:revisionPtr revIDLastSave="0" documentId="13_ncr:1_{6DCA4E5B-123A-48AE-98E3-AEDC7C0B4132}" xr6:coauthVersionLast="47" xr6:coauthVersionMax="47" xr10:uidLastSave="{00000000-0000-0000-0000-000000000000}"/>
  <bookViews>
    <workbookView xWindow="-103" yWindow="-103" windowWidth="22149" windowHeight="13920" activeTab="1" xr2:uid="{00000000-000D-0000-FFFF-FFFF00000000}"/>
  </bookViews>
  <sheets>
    <sheet name="管理組報告順序" sheetId="3" r:id="rId1"/>
    <sheet name="表單回覆 1" sheetId="1" r:id="rId2"/>
    <sheet name="工作表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3" l="1"/>
  <c r="D26" i="3" s="1"/>
  <c r="D27" i="3" s="1"/>
  <c r="D28" i="3" s="1"/>
  <c r="D29" i="3" s="1"/>
  <c r="D18" i="3"/>
  <c r="D19" i="3" s="1"/>
  <c r="D20" i="3" s="1"/>
  <c r="D21" i="3" s="1"/>
  <c r="D22" i="3" s="1"/>
  <c r="D11" i="3"/>
  <c r="D12" i="3" s="1"/>
  <c r="D13" i="3" s="1"/>
  <c r="D14" i="3" s="1"/>
  <c r="D15" i="3" s="1"/>
  <c r="D5" i="3"/>
  <c r="D6" i="3" s="1"/>
  <c r="D7" i="3" s="1"/>
  <c r="D8" i="3" s="1"/>
  <c r="D4" i="3"/>
</calcChain>
</file>

<file path=xl/sharedStrings.xml><?xml version="1.0" encoding="utf-8"?>
<sst xmlns="http://schemas.openxmlformats.org/spreadsheetml/2006/main" count="595" uniqueCount="240">
  <si>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</si>
  <si>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</si>
  <si>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</si>
  <si>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</si>
  <si>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</si>
  <si>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</si>
  <si>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</si>
  <si>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</si>
  <si>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</si>
  <si>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</si>
  <si>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</si>
  <si>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</si>
  <si>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</si>
  <si>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僑光科技大學</t>
  </si>
  <si>
    <t>企業管理系</t>
  </si>
  <si>
    <t>心動不如馬上「行動」</t>
  </si>
  <si>
    <t>僑光科技大學 賴永裕</t>
  </si>
  <si>
    <t>僑光科技大學 曾幸誼</t>
  </si>
  <si>
    <t>郭佩蓁 謝依彤 陳宏銘 林祖慶 康立楷</t>
  </si>
  <si>
    <t>0912533967</t>
  </si>
  <si>
    <t>122344321  ʏɪ</t>
  </si>
  <si>
    <t>https://drive.google.com/open?id=1VRjr29RGTGSCFHKJTL5vQWCpLw-Z38Mq</t>
  </si>
  <si>
    <t>同意</t>
  </si>
  <si>
    <t>3、線上報告 (非花蓮地區選手)</t>
  </si>
  <si>
    <t>企管系</t>
  </si>
  <si>
    <t>智慧行動休息艙之商業模式與市場接受度研究</t>
  </si>
  <si>
    <t>賴永裕</t>
  </si>
  <si>
    <t>僑光科技大學，吳佳臻</t>
  </si>
  <si>
    <t>曾子修、顏子郡</t>
  </si>
  <si>
    <t>0965036693</t>
  </si>
  <si>
    <t>臻.</t>
  </si>
  <si>
    <t>https://drive.google.com/open?id=1J3kUC9_uIZV6fzjwXIQ2YB7rIlS8dRsF</t>
  </si>
  <si>
    <t>致理科技大學</t>
  </si>
  <si>
    <t>財金系</t>
  </si>
  <si>
    <t>行動支付普及化下支付方式問題與改善策略研究</t>
  </si>
  <si>
    <t>治理科技大學 劉大魁</t>
  </si>
  <si>
    <t>致理科技大學 劉佩怡</t>
  </si>
  <si>
    <t>劉昱姈、李慧欣、羅皓恩、蘇毓心</t>
  </si>
  <si>
    <t>0963622851</t>
  </si>
  <si>
    <t>sophiegile、佩怡</t>
  </si>
  <si>
    <t>https://drive.google.com/open?id=1EwMi3Z_JkMi-ceHbv7kufX2fB-KiGPVn</t>
  </si>
  <si>
    <t>行銷與流通管理系</t>
  </si>
  <si>
    <t>K-beauty 浪潮下的綠色映像：Innisfree 如何結合 AR 科技與永續理念</t>
  </si>
  <si>
    <t>致理科技大學，謝獻章</t>
  </si>
  <si>
    <t>致理科技大學，蕭宇晴</t>
  </si>
  <si>
    <t>鍾欣彤，劉羿君，彭玟慈，温彦禎，劉芳瑜</t>
  </si>
  <si>
    <t>0936906800</t>
  </si>
  <si>
    <t>Queenie</t>
  </si>
  <si>
    <t>https://drive.google.com/open?id=1chU90Ow_shTi9-dekUs0jYDAmO6AjC53</t>
  </si>
  <si>
    <t>陸軍軍官學校</t>
  </si>
  <si>
    <t>管理科學系</t>
  </si>
  <si>
    <t>Integrating Subjective and Objective Criteria Weighting Approaches within the Weighted Aggregated Sum Product Assessment Method for Evaluating Sustainability in Transportation Supply Chains</t>
  </si>
  <si>
    <t>陸軍軍官學校管理科學系，林耕宇老師</t>
  </si>
  <si>
    <t>陸軍軍官學校管理科學系，張桂琥老師</t>
  </si>
  <si>
    <t>陸軍軍官學校管理科學系，李政諺</t>
  </si>
  <si>
    <t>無</t>
  </si>
  <si>
    <t>0974184440</t>
  </si>
  <si>
    <t>a45811612</t>
  </si>
  <si>
    <t>https://drive.google.com/open?id=1rvIwzRyjxxM0ZaTqeEs3igax_BDEXfJl</t>
  </si>
  <si>
    <t>2、現場報告 (非花蓮地區選手)</t>
  </si>
  <si>
    <t>聞香入夢-助眠芳香療法體驗對大學生使用感受、滿意度與購買意願之研究</t>
  </si>
  <si>
    <t>致理科技大學 李靜貞</t>
  </si>
  <si>
    <t>致理科技大學 林昀禛</t>
  </si>
  <si>
    <t>許維軒、顏韶萱、商渃逸、王俐寰、李柏萱</t>
  </si>
  <si>
    <t>0988800310</t>
  </si>
  <si>
    <t>940730nancy / Yunchen</t>
  </si>
  <si>
    <t>https://drive.google.com/open?id=1L2mjha07BH-aCt2E9Bqt--A_1Q4LVgdc</t>
  </si>
  <si>
    <t>利用Line Bot輔助中醫診所藥品庫存管理之實作-百草助理</t>
  </si>
  <si>
    <t>致理科技大學，郭玟琳</t>
  </si>
  <si>
    <t>致理科技大學，李冠緯</t>
  </si>
  <si>
    <t>呂沄蓉，林侑蓁</t>
  </si>
  <si>
    <t>0909913916</t>
  </si>
  <si>
    <t>李冠緯</t>
  </si>
  <si>
    <t>https://drive.google.com/open?id=1KiCycfH9INANwD8HYtz_37ZiUyuhK_AC</t>
  </si>
  <si>
    <t>品牌代言人與品牌適配性對於品牌信任、品牌忠誠度與購買意願關係之調節效果 -以全聯社為例</t>
  </si>
  <si>
    <t>劉基全</t>
  </si>
  <si>
    <t>致理科技大學，邱君皓</t>
  </si>
  <si>
    <t>涂芸甄，黃晧庭，李晏丞，陳冠宇，李欣融，陳歡穎</t>
  </si>
  <si>
    <t>0908783905</t>
  </si>
  <si>
    <t>0908783905，邱君皓</t>
  </si>
  <si>
    <t>https://drive.google.com/open?id=1qFoqzkpP0kgI2_MOIm13povlguhfJz-w</t>
  </si>
  <si>
    <t>以科技接受模型探討區塊鏈應用於電子商務之研究</t>
  </si>
  <si>
    <t>致理科技大學,劉基全</t>
  </si>
  <si>
    <t>致理科技大學-陳盈蓁</t>
  </si>
  <si>
    <t xml:space="preserve">吳柏萱、吳幼雯、陳盈蓁、徐家薰、潘昱庭、蔡予絃 　 </t>
  </si>
  <si>
    <t>0984281655</t>
  </si>
  <si>
    <t>用電話:0984281655,蓁</t>
  </si>
  <si>
    <t>https://drive.google.com/open?id=1WGkhTrc0Mep6iqrUVuQEPFQ9JfzGhjzq</t>
  </si>
  <si>
    <t>靜宜大學</t>
  </si>
  <si>
    <t>行銷系</t>
  </si>
  <si>
    <t>不同陳列方式下商品顏色對消費者偏好的影響</t>
  </si>
  <si>
    <t>靜宜大學，吳姮憓</t>
  </si>
  <si>
    <t>靜宜大學，陳宥均</t>
  </si>
  <si>
    <t>盧澤侑，吳少宇，岡本淳，高銘澤，賀柏浚</t>
  </si>
  <si>
    <t>0920866383</t>
  </si>
  <si>
    <t>578211040918，宥均</t>
  </si>
  <si>
    <t>https://drive.google.com/open?id=1Dv6I7Z0B1iclVJ6Wifhg33DSTPCtAr3S</t>
  </si>
  <si>
    <t>行銷與數位經營管理學系</t>
  </si>
  <si>
    <t>專業掛保證，代言加信任，聯名創話題！ X 世代vs. Z 世代消費態度大解析</t>
  </si>
  <si>
    <t>吳姮憓</t>
  </si>
  <si>
    <t>靜宜大學，賴薇宇</t>
  </si>
  <si>
    <t>蕭姿錡，陳怡雯</t>
  </si>
  <si>
    <t>0928012272</t>
  </si>
  <si>
    <t>0928012272，暱稱：賴</t>
  </si>
  <si>
    <t>https://drive.google.com/open?id=1uimFRpCaj5h5O9xo0u8guj3UgSLjVCJZ</t>
  </si>
  <si>
    <t>國立臺北科技大學</t>
  </si>
  <si>
    <t>經營管理系</t>
  </si>
  <si>
    <t>臺灣碳費政策下 ESG ETF 與 Smart Beta ETF  之績效與風險比較</t>
  </si>
  <si>
    <t>國立臺北科技大學，趙莊敏 副教授</t>
  </si>
  <si>
    <t>國立臺北科技大學，許仁峰</t>
  </si>
  <si>
    <t>董沛甄，王婷蓁，吳宜蓉</t>
  </si>
  <si>
    <t>0921155997</t>
  </si>
  <si>
    <t>zaqxswcde951753，REN</t>
  </si>
  <si>
    <t>https://drive.google.com/open?id=14XtoSlkoQWqIWoBo7Pzh8cmOJb3if1r7</t>
  </si>
  <si>
    <t>國際貿易系</t>
  </si>
  <si>
    <t>科技接受模式下大學生採用AI輔助學習與認知重塑之研究</t>
  </si>
  <si>
    <t>林郁芬</t>
  </si>
  <si>
    <t>余蘐庭</t>
  </si>
  <si>
    <t>陳品璇 曾雯俐 董逸柔 李誠佑</t>
  </si>
  <si>
    <t>0905329338</t>
  </si>
  <si>
    <t>alyna0506(毛）</t>
  </si>
  <si>
    <t>https://drive.google.com/open?id=1k-oAhonYQ1E1-gT2PFTDLBnSe_XyxEw2</t>
  </si>
  <si>
    <t>德明財經科技大學</t>
  </si>
  <si>
    <t>饗宴聚落：內湖商圈美食IP之沉浸式任務與跨媒體虛實整合行銷企劃</t>
  </si>
  <si>
    <t>德明財經科技大學，張哲誠</t>
  </si>
  <si>
    <t>德明財經科技大學，戴京霖</t>
  </si>
  <si>
    <t>王琮智，楊正宇，曾婉瑩，陳芯瑤，郭俊廷</t>
  </si>
  <si>
    <t>戴京霖 0966411631</t>
  </si>
  <si>
    <t>sone0916 戴京霖</t>
  </si>
  <si>
    <t>https://drive.google.com/open?id=1s4B7H-Ii3w0L7rd2xoi_E3yiqbmNxswB</t>
  </si>
  <si>
    <t>慈濟大學</t>
  </si>
  <si>
    <t>經營管理學系</t>
  </si>
  <si>
    <t>校園尋路慈大空間查詢平台</t>
  </si>
  <si>
    <t>慈濟大學，林俊銘老師</t>
  </si>
  <si>
    <t>慈濟大學，李淑庭</t>
  </si>
  <si>
    <t>劉柏瑞、劉名益、黃珮珊</t>
  </si>
  <si>
    <t>0986692575</t>
  </si>
  <si>
    <t>lilyasd7984，李淑庭</t>
  </si>
  <si>
    <t>https://drive.google.com/open?id=1zp2IblmcO86HL3PWiC27Ql343AB9WDwO</t>
  </si>
  <si>
    <t>1、花蓮地區選手-現場報告</t>
  </si>
  <si>
    <t>今晚，你點甚麼外送平台呢？</t>
  </si>
  <si>
    <t>致理科技大學 劉基全老師</t>
  </si>
  <si>
    <t>致理科技大學 鍾芷萱</t>
  </si>
  <si>
    <t>高紫軒 曾筠雅 林依晨 黎一諾</t>
  </si>
  <si>
    <t>0905163974</t>
  </si>
  <si>
    <t>pig0905163974 暱稱：K</t>
  </si>
  <si>
    <t>https://drive.google.com/open?id=1WVzhk1iYSgCd212CFQ6xMRgkcttDNotP</t>
  </si>
  <si>
    <t>資訊科技與管理學系</t>
  </si>
  <si>
    <t>探究電子處方箋實施成效之影響因素</t>
  </si>
  <si>
    <t>慈濟大學,蔡宗宏</t>
  </si>
  <si>
    <t>林世美</t>
  </si>
  <si>
    <t>0989002340</t>
  </si>
  <si>
    <t>amy0907111</t>
  </si>
  <si>
    <t>https://drive.google.com/open?id=17JS_SNTaYO3b9d0C54QKWp4lH6XC78wt</t>
  </si>
  <si>
    <t>財務金融系</t>
  </si>
  <si>
    <t>安全感到信任感-民眾行動支付使用</t>
  </si>
  <si>
    <t>致理科技大學-蕭晴惠</t>
  </si>
  <si>
    <t>致理科技大學，陳詠蔚</t>
  </si>
  <si>
    <t>蕭司辰，鄭紫渝，郭又慈，程暎彤，吳姿穎</t>
  </si>
  <si>
    <t>0083995519</t>
  </si>
  <si>
    <t>0711dora，蔚</t>
  </si>
  <si>
    <t>https://drive.google.com/open?id=1xZr0YrkmdUj2RSaZMWriDh7MU13MPf6J</t>
  </si>
  <si>
    <t>影響台灣與主要貿易夥伴雙邊貿易規模流量因素研究</t>
  </si>
  <si>
    <t>致理科技大學，周秀霞</t>
  </si>
  <si>
    <t>致理科技大學，游昀蓁</t>
  </si>
  <si>
    <t>蘇幸妤、蔡怡婷、呂庭妘、何卓穎、朱姵馨</t>
  </si>
  <si>
    <t>0966536069</t>
  </si>
  <si>
    <t>0909457292（電話無賴ID），蔡怡婷</t>
  </si>
  <si>
    <t>https://drive.google.com/open?id=1tGJr6Pv2HCFd9O3JqGgjeNca9l6bq2yD</t>
  </si>
  <si>
    <t>嘉南藥理大學</t>
  </si>
  <si>
    <t>多媒體與遊戲發展系</t>
  </si>
  <si>
    <t>虛擬Vtuber - 海子</t>
  </si>
  <si>
    <t>嘉南藥理大學，蘇倫可</t>
  </si>
  <si>
    <t>基南藥理大學，蘇致遠</t>
  </si>
  <si>
    <t>嘉南藥理大學，鄭智維</t>
  </si>
  <si>
    <t>常廷睿，洪語綺，程郁婷，黃翊德</t>
  </si>
  <si>
    <t>0900763854</t>
  </si>
  <si>
    <t>cyasine</t>
  </si>
  <si>
    <t>https://drive.google.com/open?id=12lQGpjedZkRdgLtyifLRE805el1yi1id</t>
  </si>
  <si>
    <t>醫務暨健康管理學系</t>
  </si>
  <si>
    <t>探討醫療資源分配及醫療利用行為之城鄉差異-以台北市與花蓮市為例</t>
  </si>
  <si>
    <t>李怡真</t>
  </si>
  <si>
    <t>慈濟大學，黃柏翔</t>
  </si>
  <si>
    <t>林容稔、張少紘、劉菫芸、陳聖祐</t>
  </si>
  <si>
    <t>0988-088795</t>
  </si>
  <si>
    <t>0988-088795，翔</t>
  </si>
  <si>
    <t>https://drive.google.com/open?id=1ithaMjkLdzeyvRImw1l6MN3pcy6Rb-St</t>
  </si>
  <si>
    <t>僑光科技大學-吳佳臻</t>
  </si>
  <si>
    <t>臻</t>
  </si>
  <si>
    <t>https://drive.google.com/open?id=1O0Vva0P5ZGZenDpwaDjIxnO3Fz-BXjY_</t>
  </si>
  <si>
    <t>資訊與管理系</t>
  </si>
  <si>
    <t>智慧社交桌寵系統</t>
  </si>
  <si>
    <t xml:space="preserve">慈濟大學、杜信志 </t>
  </si>
  <si>
    <t>慈濟大學 黃識熹</t>
  </si>
  <si>
    <t>李凡皓、李彥均</t>
  </si>
  <si>
    <t>0970463598</t>
  </si>
  <si>
    <t>Line ID：747w 暱稱：C4</t>
  </si>
  <si>
    <t>https://drive.google.com/open?id=1A_BDrf34TcmYryXykXecTKF2nlKvrXeA</t>
  </si>
  <si>
    <t>專業掛保證，代言加信任，移民創話題！ X世代vs. Z世代消費態度大解析</t>
  </si>
  <si>
    <t>0905490922，暱稱：賴</t>
  </si>
  <si>
    <t>https://drive.google.com/open?id=1n0UzB_KQY3GLLHyccMEXVZJB3KaHwHQ8</t>
  </si>
  <si>
    <t>2026全國經營管理專題競賽-資訊組報告順序</t>
    <phoneticPr fontId="7" type="noConversion"/>
  </si>
  <si>
    <t>場次</t>
    <phoneticPr fontId="7" type="noConversion"/>
  </si>
  <si>
    <t>組
別</t>
    <phoneticPr fontId="7" type="noConversion"/>
  </si>
  <si>
    <t>專題題目</t>
  </si>
  <si>
    <t>報告
(開始時間)</t>
    <phoneticPr fontId="7" type="noConversion"/>
  </si>
  <si>
    <t>學校，系所，組長-連絡電話
組員</t>
    <phoneticPr fontId="7" type="noConversion"/>
  </si>
  <si>
    <t>場次一</t>
  </si>
  <si>
    <t>慈濟大學，資訊科技與管理學系，黃美媛-0916022536，
徐正福，丘愛笑</t>
    <phoneticPr fontId="7" type="noConversion"/>
  </si>
  <si>
    <t>1、線上報告
(花蓮地區選手)</t>
    <phoneticPr fontId="7" type="noConversion"/>
  </si>
  <si>
    <t>慈濟大學，資訊科技與管理學系，陳姿婷-0913609733，
周紘名，張洳瑋，林恩瑜</t>
    <phoneticPr fontId="7" type="noConversion"/>
  </si>
  <si>
    <t>慈濟大學，資訊科技與管理學系，康仲誼-0906981692，
陳浩祥,唐麒宸</t>
    <phoneticPr fontId="7" type="noConversion"/>
  </si>
  <si>
    <t>慈濟大學，資訊科技與管理學系，鄧少睿-0966581551，
賴芳婕，林淑鳳</t>
    <phoneticPr fontId="7" type="noConversion"/>
  </si>
  <si>
    <t>慈濟大學，資訊科技與管理學系，黃識熹-0970463598，
李凡皓、李彥均</t>
    <phoneticPr fontId="7" type="noConversion"/>
  </si>
  <si>
    <t>慈濟大學，資訊科技與管理學系，羅彥均-0975890532，
羅品源，林晨睿</t>
    <phoneticPr fontId="7" type="noConversion"/>
  </si>
  <si>
    <t>報告方式</t>
    <phoneticPr fontId="7" type="noConversion"/>
  </si>
  <si>
    <t>場次二</t>
    <phoneticPr fontId="7" type="noConversion"/>
  </si>
  <si>
    <t>慈濟大學，資訊科技與管理學系，傅泓堯-0909568213，
蔡明亮/葉子儀/林岑華</t>
    <phoneticPr fontId="7" type="noConversion"/>
  </si>
  <si>
    <t>慈濟大學，資訊科技與管理學系，姜宇昕-0907321922，
林以諾，趙少謙</t>
    <phoneticPr fontId="7" type="noConversion"/>
  </si>
  <si>
    <t>慈濟大學，資訊科技與管理學系，艾桐恩-0981531384，
潘柏宇，梁家寶</t>
    <phoneticPr fontId="7" type="noConversion"/>
  </si>
  <si>
    <t>慈濟大學，資訊科技與管理學系，張梅墡-0926150256，
李金惠，林明婷，王曉蓓</t>
    <phoneticPr fontId="7" type="noConversion"/>
  </si>
  <si>
    <t>國立東華大學，資訊工程學系，王振宇-0918699696
李重佑，蘇奇威，謝承翰</t>
    <phoneticPr fontId="7" type="noConversion"/>
  </si>
  <si>
    <t>國立東華大學，資訊工程學系，劉紫瀅-0906807765
周昕穎, 陳玗昀, 郭奕伶</t>
    <phoneticPr fontId="7" type="noConversion"/>
  </si>
  <si>
    <t>場次三</t>
  </si>
  <si>
    <t>國立東華大學，資訊工程學系，宋沛倢-0912565058
趙子傑、劉正華、李翊綸</t>
    <phoneticPr fontId="7" type="noConversion"/>
  </si>
  <si>
    <t>1、線上報告 
(花蓮地區選手)</t>
    <phoneticPr fontId="7" type="noConversion"/>
  </si>
  <si>
    <t xml:space="preserve">慈濟大學，資訊科技與管理學系，周德耐-0989752471
</t>
    <phoneticPr fontId="7" type="noConversion"/>
  </si>
  <si>
    <t>南臺科技大學，資訊管理系,李佳頴-0905733956
鍾凱杰，吳明諭</t>
    <phoneticPr fontId="7" type="noConversion"/>
  </si>
  <si>
    <t>2.線上報告
(非花蓮地區選手)</t>
    <phoneticPr fontId="7" type="noConversion"/>
  </si>
  <si>
    <t>南臺科技大學, 資訊管理系,馬從爾-0911783330
黃柏峻</t>
    <phoneticPr fontId="7" type="noConversion"/>
  </si>
  <si>
    <t>德明財經科技大學, 資訊科技系,林均豐-0921288325
盧冠智,江翰婷,謝茂松</t>
    <phoneticPr fontId="7" type="noConversion"/>
  </si>
  <si>
    <t>南臺科技大學，資訊管理系, 張閔凱-0909712273
蕭立明，陳冠宏，顏崇峻</t>
    <phoneticPr fontId="7" type="noConversion"/>
  </si>
  <si>
    <t>場次四</t>
    <phoneticPr fontId="7" type="noConversion"/>
  </si>
  <si>
    <t>國立雲林科技大學, 資訊管理系, 陳德恩-0912731296
陳冠欣、張荃宇</t>
    <phoneticPr fontId="7" type="noConversion"/>
  </si>
  <si>
    <t>德明財經科技大學, 資訊管理系,邱婉瑈-0905773630
林佳欣, 林宇蓉, 張理惇</t>
    <phoneticPr fontId="7" type="noConversion"/>
  </si>
  <si>
    <t>亞東科技大學，工商業設計系, 陳恒毅-0902358917
林詩庭</t>
    <phoneticPr fontId="7" type="noConversion"/>
  </si>
  <si>
    <t>輔仁大學，工商業設計系, 孫語謙-0966013515
周雨潔、朱庭徵、林姵晨、曲楷凌</t>
    <phoneticPr fontId="7" type="noConversion"/>
  </si>
  <si>
    <t>陸軍軍官學校，管理科學系,張桂琥-0937215657
周柏元</t>
    <phoneticPr fontId="7" type="noConversion"/>
  </si>
  <si>
    <t>3.現場報告,
非花蓮地區選手</t>
    <phoneticPr fontId="7" type="noConversion"/>
  </si>
  <si>
    <t>德明財經科技大學，資訊管理學系,吳采臻-0902208183
陸思彥，立石剛士，王敬儀，許維哲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</si>
</sst>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19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trike/>
      <sz val="10"/>
      <color theme="1"/>
      <name val="Arial"/>
      <scheme val="minor"/>
    </font>
    <font>
      <strike/>
      <sz val="10"/>
      <color rgb="FF0000FF"/>
      <name val="Arial"/>
    </font>
    <font>
      <sz val="18"/>
      <color theme="1"/>
      <name val="標楷體"/>
      <family val="4"/>
      <charset val="136"/>
    </font>
    <font>
      <sz val="9"/>
      <name val="Arial"/>
      <family val="3"/>
      <charset val="136"/>
      <scheme val="minor"/>
    </font>
    <font>
      <sz val="9"/>
      <name val="Arial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rgb="FF1F1F1F"/>
      <name val="DFKai-SB"/>
      <family val="4"/>
      <charset val="136"/>
    </font>
    <font>
      <b/>
      <sz val="14"/>
      <color rgb="FF1F1F1F"/>
      <name val="標楷體"/>
      <family val="4"/>
      <charset val="136"/>
    </font>
    <font>
      <b/>
      <sz val="14"/>
      <color theme="1"/>
      <name val="DFKai-SB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DFKai-SB"/>
      <family val="4"/>
      <charset val="136"/>
    </font>
    <font>
      <sz val="14"/>
      <color theme="1"/>
      <name val="標楷體"/>
      <family val="4"/>
      <charset val="136"/>
    </font>
    <font>
      <sz val="10"/>
      <color theme="1"/>
      <name val="DFKai-SB"/>
      <family val="4"/>
      <charset val="136"/>
    </font>
    <font>
      <sz val="14"/>
      <color rgb="FF000000"/>
      <name val="標楷體"/>
      <family val="4"/>
      <charset val="136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176" fontId="3" fillId="0" borderId="0" xfId="0" applyNumberFormat="1" applyFont="1" applyAlignment="1"/>
    <xf numFmtId="0" fontId="3" fillId="0" borderId="0" xfId="0" applyFont="1" applyAlignment="1"/>
    <xf numFmtId="0" fontId="3" fillId="0" borderId="0" xfId="0" applyFont="1"/>
    <xf numFmtId="0" fontId="3" fillId="0" borderId="0" xfId="0" quotePrefix="1" applyFont="1" applyAlignment="1"/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20" fontId="13" fillId="0" borderId="4" xfId="0" applyNumberFormat="1" applyFont="1" applyBorder="1" applyAlignment="1">
      <alignment horizontal="center" vertical="center"/>
    </xf>
    <xf numFmtId="20" fontId="14" fillId="0" borderId="4" xfId="0" applyNumberFormat="1" applyFont="1" applyBorder="1" applyAlignment="1">
      <alignment horizontal="center" vertical="center" wrapText="1"/>
    </xf>
    <xf numFmtId="20" fontId="15" fillId="0" borderId="4" xfId="0" applyNumberFormat="1" applyFont="1" applyBorder="1" applyAlignment="1">
      <alignment horizontal="center" vertical="center" wrapText="1"/>
    </xf>
    <xf numFmtId="0" fontId="8" fillId="0" borderId="0" xfId="0" applyFont="1"/>
    <xf numFmtId="0" fontId="0" fillId="0" borderId="6" xfId="0" applyBorder="1" applyAlignment="1">
      <alignment horizontal="center" vertical="center"/>
    </xf>
    <xf numFmtId="0" fontId="14" fillId="0" borderId="0" xfId="0" applyFont="1"/>
    <xf numFmtId="0" fontId="0" fillId="0" borderId="7" xfId="0" applyBorder="1" applyAlignment="1">
      <alignment horizontal="center" vertical="center"/>
    </xf>
    <xf numFmtId="0" fontId="14" fillId="0" borderId="0" xfId="0" applyFont="1" applyAlignment="1">
      <alignment wrapText="1"/>
    </xf>
    <xf numFmtId="20" fontId="15" fillId="3" borderId="4" xfId="0" applyNumberFormat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6" fillId="0" borderId="0" xfId="0" applyFont="1"/>
    <xf numFmtId="0" fontId="17" fillId="0" borderId="0" xfId="0" quotePrefix="1" applyFont="1"/>
    <xf numFmtId="0" fontId="1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qFoqzkpP0kgI2_MOIm13povlguhfJz-w" TargetMode="External"/><Relationship Id="rId13" Type="http://schemas.openxmlformats.org/officeDocument/2006/relationships/hyperlink" Target="https://drive.google.com/open?id=1k-oAhonYQ1E1-gT2PFTDLBnSe_XyxEw2" TargetMode="External"/><Relationship Id="rId18" Type="http://schemas.openxmlformats.org/officeDocument/2006/relationships/hyperlink" Target="https://drive.google.com/open?id=1xZr0YrkmdUj2RSaZMWriDh7MU13MPf6J" TargetMode="External"/><Relationship Id="rId3" Type="http://schemas.openxmlformats.org/officeDocument/2006/relationships/hyperlink" Target="https://drive.google.com/open?id=1EwMi3Z_JkMi-ceHbv7kufX2fB-KiGPVn" TargetMode="External"/><Relationship Id="rId21" Type="http://schemas.openxmlformats.org/officeDocument/2006/relationships/hyperlink" Target="https://drive.google.com/open?id=1ithaMjkLdzeyvRImw1l6MN3pcy6Rb-St" TargetMode="External"/><Relationship Id="rId7" Type="http://schemas.openxmlformats.org/officeDocument/2006/relationships/hyperlink" Target="https://drive.google.com/open?id=1KiCycfH9INANwD8HYtz_37ZiUyuhK_AC" TargetMode="External"/><Relationship Id="rId12" Type="http://schemas.openxmlformats.org/officeDocument/2006/relationships/hyperlink" Target="https://drive.google.com/open?id=14XtoSlkoQWqIWoBo7Pzh8cmOJb3if1r7" TargetMode="External"/><Relationship Id="rId17" Type="http://schemas.openxmlformats.org/officeDocument/2006/relationships/hyperlink" Target="https://drive.google.com/open?id=17JS_SNTaYO3b9d0C54QKWp4lH6XC78wt" TargetMode="External"/><Relationship Id="rId2" Type="http://schemas.openxmlformats.org/officeDocument/2006/relationships/hyperlink" Target="https://drive.google.com/open?id=1J3kUC9_uIZV6fzjwXIQ2YB7rIlS8dRsF" TargetMode="External"/><Relationship Id="rId16" Type="http://schemas.openxmlformats.org/officeDocument/2006/relationships/hyperlink" Target="https://drive.google.com/open?id=1WVzhk1iYSgCd212CFQ6xMRgkcttDNotP" TargetMode="External"/><Relationship Id="rId20" Type="http://schemas.openxmlformats.org/officeDocument/2006/relationships/hyperlink" Target="https://drive.google.com/open?id=12lQGpjedZkRdgLtyifLRE805el1yi1id" TargetMode="External"/><Relationship Id="rId1" Type="http://schemas.openxmlformats.org/officeDocument/2006/relationships/hyperlink" Target="https://drive.google.com/open?id=1VRjr29RGTGSCFHKJTL5vQWCpLw-Z38Mq" TargetMode="External"/><Relationship Id="rId6" Type="http://schemas.openxmlformats.org/officeDocument/2006/relationships/hyperlink" Target="https://drive.google.com/open?id=1L2mjha07BH-aCt2E9Bqt--A_1Q4LVgdc" TargetMode="External"/><Relationship Id="rId11" Type="http://schemas.openxmlformats.org/officeDocument/2006/relationships/hyperlink" Target="https://drive.google.com/open?id=1uimFRpCaj5h5O9xo0u8guj3UgSLjVCJZ" TargetMode="External"/><Relationship Id="rId5" Type="http://schemas.openxmlformats.org/officeDocument/2006/relationships/hyperlink" Target="https://drive.google.com/open?id=1rvIwzRyjxxM0ZaTqeEs3igax_BDEXfJl" TargetMode="External"/><Relationship Id="rId15" Type="http://schemas.openxmlformats.org/officeDocument/2006/relationships/hyperlink" Target="https://drive.google.com/open?id=1zp2IblmcO86HL3PWiC27Ql343AB9WDwO" TargetMode="External"/><Relationship Id="rId10" Type="http://schemas.openxmlformats.org/officeDocument/2006/relationships/hyperlink" Target="https://drive.google.com/open?id=1Dv6I7Z0B1iclVJ6Wifhg33DSTPCtAr3S" TargetMode="External"/><Relationship Id="rId19" Type="http://schemas.openxmlformats.org/officeDocument/2006/relationships/hyperlink" Target="https://drive.google.com/open?id=1tGJr6Pv2HCFd9O3JqGgjeNca9l6bq2yD" TargetMode="External"/><Relationship Id="rId4" Type="http://schemas.openxmlformats.org/officeDocument/2006/relationships/hyperlink" Target="https://drive.google.com/open?id=1chU90Ow_shTi9-dekUs0jYDAmO6AjC53" TargetMode="External"/><Relationship Id="rId9" Type="http://schemas.openxmlformats.org/officeDocument/2006/relationships/hyperlink" Target="https://drive.google.com/open?id=1WGkhTrc0Mep6iqrUVuQEPFQ9JfzGhjzq" TargetMode="External"/><Relationship Id="rId14" Type="http://schemas.openxmlformats.org/officeDocument/2006/relationships/hyperlink" Target="https://drive.google.com/open?id=1s4B7H-Ii3w0L7rd2xoi_E3yiqbmNxsw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L2mjha07BH-aCt2E9Bqt--A_1Q4LVgdc" TargetMode="External"/><Relationship Id="rId13" Type="http://schemas.openxmlformats.org/officeDocument/2006/relationships/hyperlink" Target="https://drive.google.com/open?id=1Dv6I7Z0B1iclVJ6Wifhg33DSTPCtAr3S" TargetMode="External"/><Relationship Id="rId18" Type="http://schemas.openxmlformats.org/officeDocument/2006/relationships/hyperlink" Target="https://drive.google.com/open?id=1zp2IblmcO86HL3PWiC27Ql343AB9WDwO" TargetMode="External"/><Relationship Id="rId3" Type="http://schemas.openxmlformats.org/officeDocument/2006/relationships/hyperlink" Target="https://drive.google.com/open?id=1J3kUC9_uIZV6fzjwXIQ2YB7rIlS8dRsF" TargetMode="External"/><Relationship Id="rId21" Type="http://schemas.openxmlformats.org/officeDocument/2006/relationships/hyperlink" Target="https://drive.google.com/open?id=1xZr0YrkmdUj2RSaZMWriDh7MU13MPf6J" TargetMode="External"/><Relationship Id="rId7" Type="http://schemas.openxmlformats.org/officeDocument/2006/relationships/hyperlink" Target="https://drive.google.com/open?id=1rvIwzRyjxxM0ZaTqeEs3igax_BDEXfJl" TargetMode="External"/><Relationship Id="rId12" Type="http://schemas.openxmlformats.org/officeDocument/2006/relationships/hyperlink" Target="https://drive.google.com/open?id=1WGkhTrc0Mep6iqrUVuQEPFQ9JfzGhjzq" TargetMode="External"/><Relationship Id="rId17" Type="http://schemas.openxmlformats.org/officeDocument/2006/relationships/hyperlink" Target="https://drive.google.com/open?id=1s4B7H-Ii3w0L7rd2xoi_E3yiqbmNxswB" TargetMode="External"/><Relationship Id="rId2" Type="http://schemas.openxmlformats.org/officeDocument/2006/relationships/hyperlink" Target="https://drive.google.com/open?id=1VRjr29RGTGSCFHKJTL5vQWCpLw-Z38Mq" TargetMode="External"/><Relationship Id="rId16" Type="http://schemas.openxmlformats.org/officeDocument/2006/relationships/hyperlink" Target="https://drive.google.com/open?id=1k-oAhonYQ1E1-gT2PFTDLBnSe_XyxEw2" TargetMode="External"/><Relationship Id="rId20" Type="http://schemas.openxmlformats.org/officeDocument/2006/relationships/hyperlink" Target="https://drive.google.com/open?id=17JS_SNTaYO3b9d0C54QKWp4lH6XC78wt" TargetMode="External"/><Relationship Id="rId1" Type="http://schemas.openxmlformats.org/officeDocument/2006/relationships/hyperlink" Target="https://drive.google.com/open?id=1O0Vva0P5ZGZenDpwaDjIxnO3Fz-BXjY_" TargetMode="External"/><Relationship Id="rId6" Type="http://schemas.openxmlformats.org/officeDocument/2006/relationships/hyperlink" Target="https://drive.google.com/open?id=1A_BDrf34TcmYryXykXecTKF2nlKvrXeA" TargetMode="External"/><Relationship Id="rId11" Type="http://schemas.openxmlformats.org/officeDocument/2006/relationships/hyperlink" Target="https://drive.google.com/open?id=1n0UzB_KQY3GLLHyccMEXVZJB3KaHwHQ8" TargetMode="External"/><Relationship Id="rId5" Type="http://schemas.openxmlformats.org/officeDocument/2006/relationships/hyperlink" Target="https://drive.google.com/open?id=1chU90Ow_shTi9-dekUs0jYDAmO6AjC53" TargetMode="External"/><Relationship Id="rId15" Type="http://schemas.openxmlformats.org/officeDocument/2006/relationships/hyperlink" Target="https://drive.google.com/open?id=14XtoSlkoQWqIWoBo7Pzh8cmOJb3if1r7" TargetMode="External"/><Relationship Id="rId23" Type="http://schemas.openxmlformats.org/officeDocument/2006/relationships/hyperlink" Target="https://drive.google.com/open?id=12lQGpjedZkRdgLtyifLRE805el1yi1id" TargetMode="External"/><Relationship Id="rId10" Type="http://schemas.openxmlformats.org/officeDocument/2006/relationships/hyperlink" Target="https://drive.google.com/open?id=1qFoqzkpP0kgI2_MOIm13povlguhfJz-w" TargetMode="External"/><Relationship Id="rId19" Type="http://schemas.openxmlformats.org/officeDocument/2006/relationships/hyperlink" Target="https://drive.google.com/open?id=1WVzhk1iYSgCd212CFQ6xMRgkcttDNotP" TargetMode="External"/><Relationship Id="rId4" Type="http://schemas.openxmlformats.org/officeDocument/2006/relationships/hyperlink" Target="https://drive.google.com/open?id=1EwMi3Z_JkMi-ceHbv7kufX2fB-KiGPVn" TargetMode="External"/><Relationship Id="rId9" Type="http://schemas.openxmlformats.org/officeDocument/2006/relationships/hyperlink" Target="https://drive.google.com/open?id=1KiCycfH9INANwD8HYtz_37ZiUyuhK_AC" TargetMode="External"/><Relationship Id="rId14" Type="http://schemas.openxmlformats.org/officeDocument/2006/relationships/hyperlink" Target="https://drive.google.com/open?id=1uimFRpCaj5h5O9xo0u8guj3UgSLjVCJZ" TargetMode="External"/><Relationship Id="rId22" Type="http://schemas.openxmlformats.org/officeDocument/2006/relationships/hyperlink" Target="https://drive.google.com/open?id=1tGJr6Pv2HCFd9O3JqGgjeNca9l6bq2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51CB-0191-4739-803B-720287C46A09}">
  <dimension ref="A1:G34"/>
  <sheetViews>
    <sheetView workbookViewId="0">
      <selection activeCell="C24" sqref="C24:C29"/>
    </sheetView>
  </sheetViews>
  <sheetFormatPr defaultRowHeight="20.149999999999999"/>
  <cols>
    <col min="1" max="1" width="8" style="15" customWidth="1"/>
    <col min="2" max="2" width="5.4609375" style="15" customWidth="1"/>
    <col min="3" max="3" width="47.765625" style="33" customWidth="1"/>
    <col min="4" max="4" width="17" style="15" customWidth="1"/>
    <col min="5" max="5" width="78.765625" style="33" customWidth="1"/>
    <col min="6" max="6" width="16.84375" style="35" customWidth="1"/>
    <col min="7" max="7" width="39.765625" style="15" customWidth="1"/>
    <col min="8" max="16384" width="9.23046875" style="15"/>
  </cols>
  <sheetData>
    <row r="1" spans="1:7" ht="24.45">
      <c r="A1" s="11" t="s">
        <v>201</v>
      </c>
      <c r="B1" s="12"/>
      <c r="C1" s="12"/>
      <c r="D1" s="12"/>
      <c r="E1" s="12"/>
      <c r="F1" s="13"/>
      <c r="G1" s="14"/>
    </row>
    <row r="2" spans="1:7" ht="40.299999999999997">
      <c r="A2" s="16" t="s">
        <v>202</v>
      </c>
      <c r="B2" s="16" t="s">
        <v>203</v>
      </c>
      <c r="C2" s="17" t="s">
        <v>204</v>
      </c>
      <c r="D2" s="18" t="s">
        <v>205</v>
      </c>
      <c r="E2" s="19" t="s">
        <v>206</v>
      </c>
      <c r="F2" s="19" t="s">
        <v>12</v>
      </c>
      <c r="G2" s="14"/>
    </row>
    <row r="3" spans="1:7" ht="40.299999999999997">
      <c r="A3" s="20" t="s">
        <v>207</v>
      </c>
      <c r="B3" s="21">
        <v>1</v>
      </c>
      <c r="C3" s="22"/>
      <c r="D3" s="23">
        <v>0.41666666666666669</v>
      </c>
      <c r="E3" s="24" t="s">
        <v>208</v>
      </c>
      <c r="F3" s="25" t="s">
        <v>209</v>
      </c>
      <c r="G3" s="26"/>
    </row>
    <row r="4" spans="1:7" ht="40.299999999999997">
      <c r="A4" s="27"/>
      <c r="B4" s="21">
        <v>2</v>
      </c>
      <c r="C4" s="22"/>
      <c r="D4" s="23">
        <f>D3 + TIME(0,13,0)</f>
        <v>0.42569444444444449</v>
      </c>
      <c r="E4" s="24" t="s">
        <v>210</v>
      </c>
      <c r="F4" s="25" t="s">
        <v>209</v>
      </c>
      <c r="G4" s="14"/>
    </row>
    <row r="5" spans="1:7" ht="40.299999999999997">
      <c r="A5" s="27"/>
      <c r="B5" s="21">
        <v>3</v>
      </c>
      <c r="C5" s="28"/>
      <c r="D5" s="23">
        <f>D4 + TIME(0,13,0)</f>
        <v>0.43472222222222229</v>
      </c>
      <c r="E5" s="24" t="s">
        <v>211</v>
      </c>
      <c r="F5" s="25" t="s">
        <v>209</v>
      </c>
      <c r="G5" s="26"/>
    </row>
    <row r="6" spans="1:7" ht="40.299999999999997">
      <c r="A6" s="27"/>
      <c r="B6" s="21">
        <v>4</v>
      </c>
      <c r="C6" s="28"/>
      <c r="D6" s="23">
        <f t="shared" ref="D6:D8" si="0">D5 + TIME(0,13,0)</f>
        <v>0.44375000000000009</v>
      </c>
      <c r="E6" s="24" t="s">
        <v>212</v>
      </c>
      <c r="F6" s="25" t="s">
        <v>209</v>
      </c>
      <c r="G6" s="14"/>
    </row>
    <row r="7" spans="1:7" ht="40.299999999999997">
      <c r="A7" s="27"/>
      <c r="B7" s="21">
        <v>5</v>
      </c>
      <c r="C7" s="28"/>
      <c r="D7" s="23">
        <f t="shared" si="0"/>
        <v>0.45277777777777789</v>
      </c>
      <c r="E7" s="24" t="s">
        <v>213</v>
      </c>
      <c r="F7" s="25" t="s">
        <v>209</v>
      </c>
      <c r="G7" s="26"/>
    </row>
    <row r="8" spans="1:7" ht="40.299999999999997">
      <c r="A8" s="29"/>
      <c r="B8" s="21">
        <v>6</v>
      </c>
      <c r="C8" s="28"/>
      <c r="D8" s="23">
        <f t="shared" si="0"/>
        <v>0.46180555555555569</v>
      </c>
      <c r="E8" s="24" t="s">
        <v>214</v>
      </c>
      <c r="F8" s="25" t="s">
        <v>209</v>
      </c>
      <c r="G8" s="14"/>
    </row>
    <row r="9" spans="1:7" ht="40.299999999999997">
      <c r="A9" s="16" t="s">
        <v>202</v>
      </c>
      <c r="B9" s="16" t="s">
        <v>203</v>
      </c>
      <c r="C9" s="17" t="s">
        <v>204</v>
      </c>
      <c r="D9" s="18" t="s">
        <v>205</v>
      </c>
      <c r="E9" s="19" t="s">
        <v>206</v>
      </c>
      <c r="F9" s="19" t="s">
        <v>215</v>
      </c>
      <c r="G9" s="14"/>
    </row>
    <row r="10" spans="1:7" ht="40.299999999999997">
      <c r="A10" s="20" t="s">
        <v>216</v>
      </c>
      <c r="B10" s="21">
        <v>7</v>
      </c>
      <c r="C10" s="28"/>
      <c r="D10" s="23">
        <v>0.46875</v>
      </c>
      <c r="E10" s="24" t="s">
        <v>217</v>
      </c>
      <c r="F10" s="25" t="s">
        <v>209</v>
      </c>
      <c r="G10" s="14"/>
    </row>
    <row r="11" spans="1:7" ht="40.299999999999997">
      <c r="A11" s="27"/>
      <c r="B11" s="21">
        <v>8</v>
      </c>
      <c r="C11" s="28"/>
      <c r="D11" s="23">
        <f>D10 + TIME(0,13,0)</f>
        <v>0.4777777777777778</v>
      </c>
      <c r="E11" s="24" t="s">
        <v>218</v>
      </c>
      <c r="F11" s="25" t="s">
        <v>209</v>
      </c>
      <c r="G11" s="14"/>
    </row>
    <row r="12" spans="1:7" ht="40.299999999999997">
      <c r="A12" s="27"/>
      <c r="B12" s="21">
        <v>9</v>
      </c>
      <c r="C12" s="28"/>
      <c r="D12" s="23">
        <f t="shared" ref="D12:D15" si="1">D11 + TIME(0,13,0)</f>
        <v>0.4868055555555556</v>
      </c>
      <c r="E12" s="24" t="s">
        <v>219</v>
      </c>
      <c r="F12" s="25" t="s">
        <v>209</v>
      </c>
      <c r="G12" s="14"/>
    </row>
    <row r="13" spans="1:7" ht="40.299999999999997">
      <c r="A13" s="27"/>
      <c r="B13" s="21">
        <v>10</v>
      </c>
      <c r="C13" s="22"/>
      <c r="D13" s="23">
        <f t="shared" si="1"/>
        <v>0.4958333333333334</v>
      </c>
      <c r="E13" s="24" t="s">
        <v>220</v>
      </c>
      <c r="F13" s="25" t="s">
        <v>209</v>
      </c>
      <c r="G13" s="14"/>
    </row>
    <row r="14" spans="1:7" ht="40.299999999999997">
      <c r="A14" s="27"/>
      <c r="B14" s="21">
        <v>11</v>
      </c>
      <c r="C14" s="22"/>
      <c r="D14" s="23">
        <f t="shared" si="1"/>
        <v>0.5048611111111112</v>
      </c>
      <c r="E14" s="24" t="s">
        <v>221</v>
      </c>
      <c r="F14" s="25" t="s">
        <v>209</v>
      </c>
      <c r="G14" s="14"/>
    </row>
    <row r="15" spans="1:7" ht="40.299999999999997">
      <c r="A15" s="29"/>
      <c r="B15" s="21">
        <v>12</v>
      </c>
      <c r="C15" s="22"/>
      <c r="D15" s="23">
        <f t="shared" si="1"/>
        <v>0.51388888888888895</v>
      </c>
      <c r="E15" s="24" t="s">
        <v>222</v>
      </c>
      <c r="F15" s="25" t="s">
        <v>209</v>
      </c>
      <c r="G15" s="14"/>
    </row>
    <row r="16" spans="1:7" ht="40.299999999999997">
      <c r="A16" s="16" t="s">
        <v>202</v>
      </c>
      <c r="B16" s="16" t="s">
        <v>203</v>
      </c>
      <c r="C16" s="17" t="s">
        <v>204</v>
      </c>
      <c r="D16" s="18" t="s">
        <v>205</v>
      </c>
      <c r="E16" s="19" t="s">
        <v>206</v>
      </c>
      <c r="F16" s="19" t="s">
        <v>215</v>
      </c>
      <c r="G16" s="14"/>
    </row>
    <row r="17" spans="1:7" ht="40.299999999999997">
      <c r="A17" s="20" t="s">
        <v>223</v>
      </c>
      <c r="B17" s="21">
        <v>13</v>
      </c>
      <c r="C17" s="22"/>
      <c r="D17" s="23">
        <v>0.5625</v>
      </c>
      <c r="E17" s="24" t="s">
        <v>224</v>
      </c>
      <c r="F17" s="25" t="s">
        <v>225</v>
      </c>
      <c r="G17" s="14"/>
    </row>
    <row r="18" spans="1:7" ht="40.299999999999997">
      <c r="A18" s="27"/>
      <c r="B18" s="21">
        <v>14</v>
      </c>
      <c r="C18" s="22"/>
      <c r="D18" s="23">
        <f>D17 + TIME(0,13,0)</f>
        <v>0.57152777777777775</v>
      </c>
      <c r="E18" s="24" t="s">
        <v>226</v>
      </c>
      <c r="F18" s="25" t="s">
        <v>209</v>
      </c>
      <c r="G18" s="14"/>
    </row>
    <row r="19" spans="1:7" ht="40.299999999999997">
      <c r="A19" s="27"/>
      <c r="B19" s="21">
        <v>15</v>
      </c>
      <c r="C19" s="28"/>
      <c r="D19" s="23">
        <f t="shared" ref="D19:D22" si="2">D18 + TIME(0,13,0)</f>
        <v>0.58055555555555549</v>
      </c>
      <c r="E19" s="30" t="s">
        <v>227</v>
      </c>
      <c r="F19" s="31" t="s">
        <v>228</v>
      </c>
      <c r="G19" s="14"/>
    </row>
    <row r="20" spans="1:7" ht="40.299999999999997">
      <c r="A20" s="27"/>
      <c r="B20" s="21">
        <v>16</v>
      </c>
      <c r="C20" s="28"/>
      <c r="D20" s="23">
        <f t="shared" si="2"/>
        <v>0.58958333333333324</v>
      </c>
      <c r="E20" s="30" t="s">
        <v>229</v>
      </c>
      <c r="F20" s="31" t="s">
        <v>228</v>
      </c>
      <c r="G20" s="14"/>
    </row>
    <row r="21" spans="1:7" ht="40.299999999999997">
      <c r="A21" s="27"/>
      <c r="B21" s="21">
        <v>17</v>
      </c>
      <c r="C21" s="28"/>
      <c r="D21" s="23">
        <f t="shared" si="2"/>
        <v>0.59861111111111098</v>
      </c>
      <c r="E21" s="30" t="s">
        <v>230</v>
      </c>
      <c r="F21" s="31" t="s">
        <v>228</v>
      </c>
      <c r="G21" s="14"/>
    </row>
    <row r="22" spans="1:7" ht="40.299999999999997">
      <c r="A22" s="27"/>
      <c r="B22" s="21">
        <v>18</v>
      </c>
      <c r="C22" s="28"/>
      <c r="D22" s="23">
        <f t="shared" si="2"/>
        <v>0.60763888888888873</v>
      </c>
      <c r="E22" s="30" t="s">
        <v>231</v>
      </c>
      <c r="F22" s="31" t="s">
        <v>228</v>
      </c>
      <c r="G22" s="14"/>
    </row>
    <row r="23" spans="1:7" ht="40.299999999999997">
      <c r="A23" s="16" t="s">
        <v>202</v>
      </c>
      <c r="B23" s="16" t="s">
        <v>203</v>
      </c>
      <c r="C23" s="17" t="s">
        <v>204</v>
      </c>
      <c r="D23" s="18" t="s">
        <v>205</v>
      </c>
      <c r="E23" s="19" t="s">
        <v>206</v>
      </c>
      <c r="F23" s="19" t="s">
        <v>215</v>
      </c>
      <c r="G23" s="14"/>
    </row>
    <row r="24" spans="1:7" ht="40.299999999999997">
      <c r="A24" s="20" t="s">
        <v>232</v>
      </c>
      <c r="B24" s="21">
        <v>19</v>
      </c>
      <c r="C24" s="28"/>
      <c r="D24" s="23">
        <v>0.61458333333333337</v>
      </c>
      <c r="E24" s="30" t="s">
        <v>233</v>
      </c>
      <c r="F24" s="31" t="s">
        <v>228</v>
      </c>
      <c r="G24" s="14"/>
    </row>
    <row r="25" spans="1:7" ht="40.299999999999997">
      <c r="A25" s="32"/>
      <c r="B25" s="21">
        <v>20</v>
      </c>
      <c r="C25" s="28"/>
      <c r="D25" s="23">
        <f>D24 + TIME(0,13,0)</f>
        <v>0.62361111111111112</v>
      </c>
      <c r="E25" s="30" t="s">
        <v>234</v>
      </c>
      <c r="F25" s="31" t="s">
        <v>228</v>
      </c>
      <c r="G25" s="14"/>
    </row>
    <row r="26" spans="1:7" ht="40.299999999999997">
      <c r="A26" s="27"/>
      <c r="B26" s="21">
        <v>21</v>
      </c>
      <c r="C26" s="28"/>
      <c r="D26" s="23">
        <f t="shared" ref="D26:D28" si="3">D25 + TIME(0,13,0)</f>
        <v>0.63263888888888886</v>
      </c>
      <c r="E26" s="30" t="s">
        <v>235</v>
      </c>
      <c r="F26" s="31" t="s">
        <v>228</v>
      </c>
      <c r="G26" s="14"/>
    </row>
    <row r="27" spans="1:7" ht="40.299999999999997">
      <c r="A27" s="27"/>
      <c r="B27" s="21">
        <v>22</v>
      </c>
      <c r="C27" s="28"/>
      <c r="D27" s="23">
        <f t="shared" si="3"/>
        <v>0.64166666666666661</v>
      </c>
      <c r="E27" s="30" t="s">
        <v>236</v>
      </c>
      <c r="F27" s="31" t="s">
        <v>228</v>
      </c>
      <c r="G27" s="14"/>
    </row>
    <row r="28" spans="1:7" ht="40.299999999999997">
      <c r="A28" s="27"/>
      <c r="B28" s="21">
        <v>23</v>
      </c>
      <c r="C28" s="22"/>
      <c r="D28" s="23">
        <f t="shared" si="3"/>
        <v>0.65069444444444435</v>
      </c>
      <c r="E28" s="24" t="s">
        <v>237</v>
      </c>
      <c r="F28" s="25" t="s">
        <v>238</v>
      </c>
      <c r="G28" s="14"/>
    </row>
    <row r="29" spans="1:7" ht="40.299999999999997">
      <c r="A29" s="27"/>
      <c r="B29" s="21">
        <v>24</v>
      </c>
      <c r="C29" s="22"/>
      <c r="D29" s="23">
        <f>D28 + TIME(0,13,0)</f>
        <v>0.6597222222222221</v>
      </c>
      <c r="E29" s="24" t="s">
        <v>239</v>
      </c>
      <c r="F29" s="25" t="s">
        <v>238</v>
      </c>
      <c r="G29" s="14"/>
    </row>
    <row r="31" spans="1:7">
      <c r="E31" s="28"/>
      <c r="F31" s="34"/>
    </row>
    <row r="32" spans="1:7">
      <c r="E32" s="28"/>
      <c r="F32" s="34"/>
    </row>
    <row r="33" spans="5:6">
      <c r="E33" s="28"/>
      <c r="F33" s="34"/>
    </row>
    <row r="34" spans="5:6">
      <c r="E34" s="28"/>
      <c r="F34" s="34"/>
    </row>
  </sheetData>
  <mergeCells count="5">
    <mergeCell ref="A1:F1"/>
    <mergeCell ref="A3:A8"/>
    <mergeCell ref="A10:A15"/>
    <mergeCell ref="A17:A22"/>
    <mergeCell ref="A24:A29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"/>
  <sheetViews>
    <sheetView tabSelected="1" workbookViewId="0">
      <pane ySplit="1" topLeftCell="A2" activePane="bottomLeft" state="frozen"/>
      <selection pane="bottomLeft" activeCell="E25" sqref="E25"/>
    </sheetView>
  </sheetViews>
  <sheetFormatPr defaultColWidth="12.61328125" defaultRowHeight="15.75" customHeight="1"/>
  <cols>
    <col min="1" max="3" width="18.84375" customWidth="1"/>
    <col min="4" max="4" width="23.23046875" customWidth="1"/>
    <col min="5" max="5" width="51.4609375" customWidth="1"/>
    <col min="6" max="6" width="27.4609375" customWidth="1"/>
    <col min="7" max="7" width="20.15234375" customWidth="1"/>
    <col min="8" max="8" width="30.765625" customWidth="1"/>
    <col min="9" max="9" width="33.3828125" customWidth="1"/>
    <col min="10" max="10" width="32.84375" customWidth="1"/>
    <col min="11" max="11" width="26" customWidth="1"/>
    <col min="12" max="13" width="37.61328125" customWidth="1"/>
    <col min="14" max="19" width="18.8437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>
      <c r="A2" s="2">
        <v>46133.923478182871</v>
      </c>
      <c r="B2" s="3" t="s">
        <v>13</v>
      </c>
      <c r="C2" s="3" t="s">
        <v>14</v>
      </c>
      <c r="D2" s="3" t="s">
        <v>23</v>
      </c>
      <c r="E2" s="3" t="s">
        <v>15</v>
      </c>
      <c r="F2" s="3" t="s">
        <v>16</v>
      </c>
      <c r="H2" s="3" t="s">
        <v>17</v>
      </c>
      <c r="I2" s="3" t="s">
        <v>18</v>
      </c>
      <c r="J2" s="4" t="s">
        <v>19</v>
      </c>
      <c r="K2" s="3" t="s">
        <v>20</v>
      </c>
      <c r="L2" s="5" t="s">
        <v>21</v>
      </c>
      <c r="M2" s="3" t="s">
        <v>22</v>
      </c>
    </row>
    <row r="3" spans="1:13" ht="15.75" customHeight="1">
      <c r="A3" s="2">
        <v>46150.914932337968</v>
      </c>
      <c r="B3" s="3" t="s">
        <v>13</v>
      </c>
      <c r="C3" s="3" t="s">
        <v>24</v>
      </c>
      <c r="D3" s="3" t="s">
        <v>23</v>
      </c>
      <c r="E3" s="3" t="s">
        <v>25</v>
      </c>
      <c r="F3" s="3" t="s">
        <v>26</v>
      </c>
      <c r="H3" s="3" t="s">
        <v>27</v>
      </c>
      <c r="I3" s="3" t="s">
        <v>28</v>
      </c>
      <c r="J3" s="4" t="s">
        <v>29</v>
      </c>
      <c r="K3" s="3" t="s">
        <v>30</v>
      </c>
      <c r="L3" s="5" t="s">
        <v>31</v>
      </c>
      <c r="M3" s="3" t="s">
        <v>22</v>
      </c>
    </row>
    <row r="4" spans="1:13" ht="15.75" customHeight="1">
      <c r="A4" s="2">
        <v>46152.63531813657</v>
      </c>
      <c r="B4" s="3" t="s">
        <v>32</v>
      </c>
      <c r="C4" s="3" t="s">
        <v>33</v>
      </c>
      <c r="D4" s="3" t="s">
        <v>23</v>
      </c>
      <c r="E4" s="3" t="s">
        <v>34</v>
      </c>
      <c r="F4" s="3" t="s">
        <v>35</v>
      </c>
      <c r="H4" s="3" t="s">
        <v>36</v>
      </c>
      <c r="I4" s="3" t="s">
        <v>37</v>
      </c>
      <c r="J4" s="4" t="s">
        <v>38</v>
      </c>
      <c r="K4" s="3" t="s">
        <v>39</v>
      </c>
      <c r="L4" s="5" t="s">
        <v>40</v>
      </c>
      <c r="M4" s="3" t="s">
        <v>22</v>
      </c>
    </row>
    <row r="5" spans="1:13" ht="15.75" customHeight="1">
      <c r="A5" s="2">
        <v>46162.715892962966</v>
      </c>
      <c r="B5" s="3" t="s">
        <v>32</v>
      </c>
      <c r="C5" s="3" t="s">
        <v>41</v>
      </c>
      <c r="D5" s="3" t="s">
        <v>23</v>
      </c>
      <c r="E5" s="3" t="s">
        <v>42</v>
      </c>
      <c r="F5" s="3" t="s">
        <v>43</v>
      </c>
      <c r="H5" s="3" t="s">
        <v>44</v>
      </c>
      <c r="I5" s="3" t="s">
        <v>45</v>
      </c>
      <c r="J5" s="4" t="s">
        <v>46</v>
      </c>
      <c r="K5" s="3" t="s">
        <v>47</v>
      </c>
      <c r="L5" s="5" t="s">
        <v>48</v>
      </c>
      <c r="M5" s="3" t="s">
        <v>22</v>
      </c>
    </row>
    <row r="6" spans="1:13" ht="15.75" customHeight="1">
      <c r="A6" s="2">
        <v>46166.480468368056</v>
      </c>
      <c r="B6" s="3" t="s">
        <v>49</v>
      </c>
      <c r="C6" s="3" t="s">
        <v>50</v>
      </c>
      <c r="D6" s="3" t="s">
        <v>59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4" t="s">
        <v>56</v>
      </c>
      <c r="K6" s="3" t="s">
        <v>57</v>
      </c>
      <c r="L6" s="5" t="s">
        <v>58</v>
      </c>
      <c r="M6" s="3" t="s">
        <v>22</v>
      </c>
    </row>
    <row r="7" spans="1:13" ht="15.75" customHeight="1">
      <c r="A7" s="2">
        <v>46166.611036574075</v>
      </c>
      <c r="B7" s="3" t="s">
        <v>32</v>
      </c>
      <c r="C7" s="3" t="s">
        <v>41</v>
      </c>
      <c r="D7" s="3" t="s">
        <v>23</v>
      </c>
      <c r="E7" s="3" t="s">
        <v>60</v>
      </c>
      <c r="F7" s="3" t="s">
        <v>61</v>
      </c>
      <c r="G7" s="3" t="s">
        <v>61</v>
      </c>
      <c r="H7" s="3" t="s">
        <v>62</v>
      </c>
      <c r="I7" s="3" t="s">
        <v>63</v>
      </c>
      <c r="J7" s="4" t="s">
        <v>64</v>
      </c>
      <c r="K7" s="3" t="s">
        <v>65</v>
      </c>
      <c r="L7" s="5" t="s">
        <v>66</v>
      </c>
      <c r="M7" s="3" t="s">
        <v>22</v>
      </c>
    </row>
    <row r="8" spans="1:13" ht="15.75" customHeight="1">
      <c r="A8" s="2">
        <v>46166.703008750002</v>
      </c>
      <c r="B8" s="3" t="s">
        <v>32</v>
      </c>
      <c r="C8" s="3" t="s">
        <v>14</v>
      </c>
      <c r="D8" s="3" t="s">
        <v>23</v>
      </c>
      <c r="E8" s="3" t="s">
        <v>67</v>
      </c>
      <c r="F8" s="3" t="s">
        <v>68</v>
      </c>
      <c r="H8" s="3" t="s">
        <v>69</v>
      </c>
      <c r="I8" s="3" t="s">
        <v>70</v>
      </c>
      <c r="J8" s="4" t="s">
        <v>71</v>
      </c>
      <c r="K8" s="3" t="s">
        <v>72</v>
      </c>
      <c r="L8" s="5" t="s">
        <v>73</v>
      </c>
      <c r="M8" s="3" t="s">
        <v>22</v>
      </c>
    </row>
    <row r="9" spans="1:13" ht="15.75" customHeight="1">
      <c r="A9" s="2">
        <v>46166.792843981486</v>
      </c>
      <c r="B9" s="3" t="s">
        <v>32</v>
      </c>
      <c r="C9" s="3" t="s">
        <v>14</v>
      </c>
      <c r="D9" s="3" t="s">
        <v>23</v>
      </c>
      <c r="E9" s="3" t="s">
        <v>74</v>
      </c>
      <c r="F9" s="3" t="s">
        <v>75</v>
      </c>
      <c r="H9" s="3" t="s">
        <v>76</v>
      </c>
      <c r="I9" s="3" t="s">
        <v>77</v>
      </c>
      <c r="J9" s="4" t="s">
        <v>78</v>
      </c>
      <c r="K9" s="3" t="s">
        <v>79</v>
      </c>
      <c r="L9" s="5" t="s">
        <v>80</v>
      </c>
      <c r="M9" s="3" t="s">
        <v>22</v>
      </c>
    </row>
    <row r="10" spans="1:13" ht="15.75" customHeight="1">
      <c r="A10" s="2">
        <v>46167.674488865741</v>
      </c>
      <c r="B10" s="3" t="s">
        <v>32</v>
      </c>
      <c r="C10" s="3" t="s">
        <v>14</v>
      </c>
      <c r="D10" s="3" t="s">
        <v>23</v>
      </c>
      <c r="E10" s="3" t="s">
        <v>81</v>
      </c>
      <c r="F10" s="3" t="s">
        <v>82</v>
      </c>
      <c r="H10" s="3" t="s">
        <v>83</v>
      </c>
      <c r="I10" s="3" t="s">
        <v>84</v>
      </c>
      <c r="J10" s="4" t="s">
        <v>85</v>
      </c>
      <c r="K10" s="3" t="s">
        <v>86</v>
      </c>
      <c r="L10" s="5" t="s">
        <v>87</v>
      </c>
      <c r="M10" s="3" t="s">
        <v>22</v>
      </c>
    </row>
    <row r="11" spans="1:13" ht="15.75" customHeight="1">
      <c r="A11" s="2">
        <v>46167.993665833332</v>
      </c>
      <c r="B11" s="3" t="s">
        <v>88</v>
      </c>
      <c r="C11" s="3" t="s">
        <v>89</v>
      </c>
      <c r="D11" s="3" t="s">
        <v>23</v>
      </c>
      <c r="E11" s="3" t="s">
        <v>90</v>
      </c>
      <c r="F11" s="3" t="s">
        <v>91</v>
      </c>
      <c r="H11" s="3" t="s">
        <v>92</v>
      </c>
      <c r="I11" s="3" t="s">
        <v>93</v>
      </c>
      <c r="J11" s="4" t="s">
        <v>94</v>
      </c>
      <c r="K11" s="3" t="s">
        <v>95</v>
      </c>
      <c r="L11" s="5" t="s">
        <v>96</v>
      </c>
      <c r="M11" s="3" t="s">
        <v>22</v>
      </c>
    </row>
    <row r="12" spans="1:13" ht="15.75" customHeight="1">
      <c r="A12" s="2">
        <v>46168.605050578699</v>
      </c>
      <c r="B12" s="3" t="s">
        <v>88</v>
      </c>
      <c r="C12" s="3" t="s">
        <v>97</v>
      </c>
      <c r="D12" s="3" t="s">
        <v>23</v>
      </c>
      <c r="E12" s="3" t="s">
        <v>98</v>
      </c>
      <c r="F12" s="3" t="s">
        <v>99</v>
      </c>
      <c r="G12" s="3" t="s">
        <v>55</v>
      </c>
      <c r="H12" s="3" t="s">
        <v>100</v>
      </c>
      <c r="I12" s="3" t="s">
        <v>101</v>
      </c>
      <c r="J12" s="4" t="s">
        <v>102</v>
      </c>
      <c r="K12" s="3" t="s">
        <v>103</v>
      </c>
      <c r="L12" s="5" t="s">
        <v>104</v>
      </c>
      <c r="M12" s="3" t="s">
        <v>22</v>
      </c>
    </row>
    <row r="13" spans="1:13" ht="15.75" customHeight="1">
      <c r="A13" s="2">
        <v>46168.764793692128</v>
      </c>
      <c r="B13" s="3" t="s">
        <v>105</v>
      </c>
      <c r="C13" s="3" t="s">
        <v>106</v>
      </c>
      <c r="D13" s="3" t="s">
        <v>23</v>
      </c>
      <c r="E13" s="3" t="s">
        <v>107</v>
      </c>
      <c r="F13" s="3" t="s">
        <v>108</v>
      </c>
      <c r="H13" s="3" t="s">
        <v>109</v>
      </c>
      <c r="I13" s="3" t="s">
        <v>110</v>
      </c>
      <c r="J13" s="4" t="s">
        <v>111</v>
      </c>
      <c r="K13" s="3" t="s">
        <v>112</v>
      </c>
      <c r="L13" s="5" t="s">
        <v>113</v>
      </c>
      <c r="M13" s="3" t="s">
        <v>22</v>
      </c>
    </row>
    <row r="14" spans="1:13" ht="15.75" customHeight="1">
      <c r="A14" s="2">
        <v>46169.468343923611</v>
      </c>
      <c r="B14" s="3" t="s">
        <v>32</v>
      </c>
      <c r="C14" s="3" t="s">
        <v>114</v>
      </c>
      <c r="D14" s="3" t="s">
        <v>23</v>
      </c>
      <c r="E14" s="3" t="s">
        <v>115</v>
      </c>
      <c r="F14" s="3" t="s">
        <v>116</v>
      </c>
      <c r="H14" s="3" t="s">
        <v>117</v>
      </c>
      <c r="I14" s="3" t="s">
        <v>118</v>
      </c>
      <c r="J14" s="4" t="s">
        <v>119</v>
      </c>
      <c r="K14" s="3" t="s">
        <v>120</v>
      </c>
      <c r="L14" s="5" t="s">
        <v>121</v>
      </c>
      <c r="M14" s="3" t="s">
        <v>22</v>
      </c>
    </row>
    <row r="15" spans="1:13" ht="15.75" customHeight="1">
      <c r="A15" s="2">
        <v>46169.650862499999</v>
      </c>
      <c r="B15" s="3" t="s">
        <v>122</v>
      </c>
      <c r="C15" s="3" t="s">
        <v>14</v>
      </c>
      <c r="D15" s="3" t="s">
        <v>59</v>
      </c>
      <c r="E15" s="3" t="s">
        <v>123</v>
      </c>
      <c r="F15" s="3" t="s">
        <v>124</v>
      </c>
      <c r="H15" s="3" t="s">
        <v>125</v>
      </c>
      <c r="I15" s="3" t="s">
        <v>126</v>
      </c>
      <c r="J15" s="3" t="s">
        <v>127</v>
      </c>
      <c r="K15" s="3" t="s">
        <v>128</v>
      </c>
      <c r="L15" s="5" t="s">
        <v>129</v>
      </c>
      <c r="M15" s="3" t="s">
        <v>22</v>
      </c>
    </row>
    <row r="16" spans="1:13" ht="15.75" customHeight="1">
      <c r="A16" s="2">
        <v>46169.897239999998</v>
      </c>
      <c r="B16" s="3" t="s">
        <v>130</v>
      </c>
      <c r="C16" s="3" t="s">
        <v>131</v>
      </c>
      <c r="D16" s="3" t="s">
        <v>139</v>
      </c>
      <c r="E16" s="3" t="s">
        <v>132</v>
      </c>
      <c r="F16" s="3" t="s">
        <v>133</v>
      </c>
      <c r="H16" s="3" t="s">
        <v>134</v>
      </c>
      <c r="I16" s="3" t="s">
        <v>135</v>
      </c>
      <c r="J16" s="4" t="s">
        <v>136</v>
      </c>
      <c r="K16" s="3" t="s">
        <v>137</v>
      </c>
      <c r="L16" s="5" t="s">
        <v>138</v>
      </c>
      <c r="M16" s="3" t="s">
        <v>22</v>
      </c>
    </row>
    <row r="17" spans="1:13" ht="15.75" customHeight="1">
      <c r="A17" s="2">
        <v>46170.561378645834</v>
      </c>
      <c r="B17" s="3" t="s">
        <v>32</v>
      </c>
      <c r="C17" s="3" t="s">
        <v>14</v>
      </c>
      <c r="D17" s="3" t="s">
        <v>23</v>
      </c>
      <c r="E17" s="3" t="s">
        <v>140</v>
      </c>
      <c r="F17" s="3" t="s">
        <v>141</v>
      </c>
      <c r="H17" s="3" t="s">
        <v>142</v>
      </c>
      <c r="I17" s="3" t="s">
        <v>143</v>
      </c>
      <c r="J17" s="4" t="s">
        <v>144</v>
      </c>
      <c r="K17" s="3" t="s">
        <v>145</v>
      </c>
      <c r="L17" s="5" t="s">
        <v>146</v>
      </c>
      <c r="M17" s="3" t="s">
        <v>22</v>
      </c>
    </row>
    <row r="18" spans="1:13" ht="15.75" customHeight="1">
      <c r="A18" s="2">
        <v>46170.899861157406</v>
      </c>
      <c r="B18" s="3" t="s">
        <v>130</v>
      </c>
      <c r="C18" s="3" t="s">
        <v>147</v>
      </c>
      <c r="D18" s="3" t="s">
        <v>139</v>
      </c>
      <c r="E18" s="3" t="s">
        <v>148</v>
      </c>
      <c r="F18" s="3" t="s">
        <v>149</v>
      </c>
      <c r="H18" s="3" t="s">
        <v>150</v>
      </c>
      <c r="J18" s="4" t="s">
        <v>151</v>
      </c>
      <c r="K18" s="3" t="s">
        <v>152</v>
      </c>
      <c r="L18" s="5" t="s">
        <v>153</v>
      </c>
      <c r="M18" s="3" t="s">
        <v>22</v>
      </c>
    </row>
    <row r="19" spans="1:13" ht="15.75" customHeight="1">
      <c r="A19" s="2">
        <v>46170.970721585647</v>
      </c>
      <c r="B19" s="3" t="s">
        <v>32</v>
      </c>
      <c r="C19" s="3" t="s">
        <v>154</v>
      </c>
      <c r="D19" s="3" t="s">
        <v>23</v>
      </c>
      <c r="E19" s="3" t="s">
        <v>155</v>
      </c>
      <c r="F19" s="3" t="s">
        <v>156</v>
      </c>
      <c r="H19" s="3" t="s">
        <v>157</v>
      </c>
      <c r="I19" s="3" t="s">
        <v>158</v>
      </c>
      <c r="J19" s="4" t="s">
        <v>159</v>
      </c>
      <c r="K19" s="3" t="s">
        <v>160</v>
      </c>
      <c r="L19" s="5" t="s">
        <v>161</v>
      </c>
      <c r="M19" s="3" t="s">
        <v>22</v>
      </c>
    </row>
    <row r="20" spans="1:13" ht="15.75" customHeight="1">
      <c r="A20" s="2">
        <v>46170.990215034719</v>
      </c>
      <c r="B20" s="3" t="s">
        <v>32</v>
      </c>
      <c r="C20" s="3" t="s">
        <v>154</v>
      </c>
      <c r="D20" s="3" t="s">
        <v>23</v>
      </c>
      <c r="E20" s="3" t="s">
        <v>162</v>
      </c>
      <c r="F20" s="3" t="s">
        <v>163</v>
      </c>
      <c r="H20" s="3" t="s">
        <v>164</v>
      </c>
      <c r="I20" s="3" t="s">
        <v>165</v>
      </c>
      <c r="J20" s="4" t="s">
        <v>166</v>
      </c>
      <c r="K20" s="3" t="s">
        <v>167</v>
      </c>
      <c r="L20" s="5" t="s">
        <v>168</v>
      </c>
      <c r="M20" s="3" t="s">
        <v>22</v>
      </c>
    </row>
    <row r="21" spans="1:13" ht="15.75" customHeight="1">
      <c r="A21" s="2">
        <v>46171.256158888893</v>
      </c>
      <c r="B21" s="3" t="s">
        <v>169</v>
      </c>
      <c r="C21" s="3" t="s">
        <v>170</v>
      </c>
      <c r="D21" s="3" t="s">
        <v>23</v>
      </c>
      <c r="E21" s="3" t="s">
        <v>171</v>
      </c>
      <c r="F21" s="3" t="s">
        <v>172</v>
      </c>
      <c r="G21" s="3" t="s">
        <v>173</v>
      </c>
      <c r="H21" s="3" t="s">
        <v>174</v>
      </c>
      <c r="I21" s="3" t="s">
        <v>175</v>
      </c>
      <c r="J21" s="4" t="s">
        <v>176</v>
      </c>
      <c r="K21" s="3" t="s">
        <v>177</v>
      </c>
      <c r="L21" s="5" t="s">
        <v>178</v>
      </c>
      <c r="M21" s="3" t="s">
        <v>22</v>
      </c>
    </row>
    <row r="22" spans="1:13" ht="12.45">
      <c r="A22" s="2">
        <v>46172.868857430556</v>
      </c>
      <c r="B22" s="3" t="s">
        <v>130</v>
      </c>
      <c r="C22" s="3" t="s">
        <v>179</v>
      </c>
      <c r="D22" s="3" t="s">
        <v>139</v>
      </c>
      <c r="E22" s="3" t="s">
        <v>180</v>
      </c>
      <c r="F22" s="3" t="s">
        <v>181</v>
      </c>
      <c r="H22" s="3" t="s">
        <v>182</v>
      </c>
      <c r="I22" s="3" t="s">
        <v>183</v>
      </c>
      <c r="J22" s="3" t="s">
        <v>184</v>
      </c>
      <c r="K22" s="3" t="s">
        <v>185</v>
      </c>
      <c r="L22" s="5" t="s">
        <v>186</v>
      </c>
      <c r="M22" s="3" t="s">
        <v>22</v>
      </c>
    </row>
  </sheetData>
  <phoneticPr fontId="6" type="noConversion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4"/>
  <sheetViews>
    <sheetView topLeftCell="A13" workbookViewId="0"/>
  </sheetViews>
  <sheetFormatPr defaultColWidth="12.61328125" defaultRowHeight="15.75" customHeight="1"/>
  <cols>
    <col min="1" max="3" width="18.84375" customWidth="1"/>
    <col min="4" max="4" width="37.15234375" customWidth="1"/>
    <col min="5" max="5" width="27.4609375" customWidth="1"/>
    <col min="6" max="6" width="20.15234375" customWidth="1"/>
    <col min="7" max="7" width="30.765625" customWidth="1"/>
    <col min="8" max="8" width="33.3828125" customWidth="1"/>
    <col min="9" max="9" width="32.84375" customWidth="1"/>
    <col min="10" max="10" width="26" customWidth="1"/>
    <col min="11" max="12" width="37.61328125" customWidth="1"/>
    <col min="13" max="19" width="18.84375" customWidth="1"/>
  </cols>
  <sheetData>
    <row r="1" spans="1:1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9" ht="15.75" customHeight="1">
      <c r="A2" s="6">
        <v>46130.870534560185</v>
      </c>
      <c r="B2" s="7" t="s">
        <v>13</v>
      </c>
      <c r="C2" s="7" t="s">
        <v>24</v>
      </c>
      <c r="D2" s="7" t="s">
        <v>25</v>
      </c>
      <c r="E2" s="7" t="s">
        <v>26</v>
      </c>
      <c r="F2" s="8"/>
      <c r="G2" s="7" t="s">
        <v>187</v>
      </c>
      <c r="H2" s="7" t="s">
        <v>28</v>
      </c>
      <c r="I2" s="9" t="s">
        <v>29</v>
      </c>
      <c r="J2" s="7" t="s">
        <v>188</v>
      </c>
      <c r="K2" s="10" t="s">
        <v>189</v>
      </c>
      <c r="L2" s="7" t="s">
        <v>22</v>
      </c>
      <c r="M2" s="7" t="s">
        <v>23</v>
      </c>
      <c r="N2" s="8"/>
      <c r="O2" s="8"/>
      <c r="P2" s="8"/>
      <c r="Q2" s="8"/>
      <c r="R2" s="8"/>
      <c r="S2" s="8"/>
    </row>
    <row r="3" spans="1:19" ht="15.75" customHeight="1">
      <c r="A3" s="2">
        <v>46133.923478182871</v>
      </c>
      <c r="B3" s="3" t="s">
        <v>13</v>
      </c>
      <c r="C3" s="3" t="s">
        <v>14</v>
      </c>
      <c r="D3" s="3" t="s">
        <v>15</v>
      </c>
      <c r="E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  <c r="K3" s="5" t="s">
        <v>21</v>
      </c>
      <c r="L3" s="3" t="s">
        <v>22</v>
      </c>
      <c r="M3" s="3" t="s">
        <v>23</v>
      </c>
    </row>
    <row r="4" spans="1:19" ht="15.75" customHeight="1">
      <c r="A4" s="2">
        <v>46150.914932337968</v>
      </c>
      <c r="B4" s="3" t="s">
        <v>13</v>
      </c>
      <c r="C4" s="3" t="s">
        <v>24</v>
      </c>
      <c r="D4" s="3" t="s">
        <v>25</v>
      </c>
      <c r="E4" s="3" t="s">
        <v>26</v>
      </c>
      <c r="G4" s="3" t="s">
        <v>27</v>
      </c>
      <c r="H4" s="3" t="s">
        <v>28</v>
      </c>
      <c r="I4" s="4" t="s">
        <v>29</v>
      </c>
      <c r="J4" s="3" t="s">
        <v>30</v>
      </c>
      <c r="K4" s="5" t="s">
        <v>31</v>
      </c>
      <c r="L4" s="3" t="s">
        <v>22</v>
      </c>
      <c r="M4" s="3" t="s">
        <v>23</v>
      </c>
    </row>
    <row r="5" spans="1:19" ht="15.75" customHeight="1">
      <c r="A5" s="2">
        <v>46152.63531813657</v>
      </c>
      <c r="B5" s="3" t="s">
        <v>32</v>
      </c>
      <c r="C5" s="3" t="s">
        <v>33</v>
      </c>
      <c r="D5" s="3" t="s">
        <v>34</v>
      </c>
      <c r="E5" s="3" t="s">
        <v>35</v>
      </c>
      <c r="G5" s="3" t="s">
        <v>36</v>
      </c>
      <c r="H5" s="3" t="s">
        <v>37</v>
      </c>
      <c r="I5" s="4" t="s">
        <v>38</v>
      </c>
      <c r="J5" s="3" t="s">
        <v>39</v>
      </c>
      <c r="K5" s="5" t="s">
        <v>40</v>
      </c>
      <c r="L5" s="3" t="s">
        <v>22</v>
      </c>
      <c r="M5" s="3" t="s">
        <v>23</v>
      </c>
    </row>
    <row r="6" spans="1:19" ht="15.75" customHeight="1">
      <c r="A6" s="2">
        <v>46162.715892962966</v>
      </c>
      <c r="B6" s="3" t="s">
        <v>32</v>
      </c>
      <c r="C6" s="3" t="s">
        <v>41</v>
      </c>
      <c r="D6" s="3" t="s">
        <v>42</v>
      </c>
      <c r="E6" s="3" t="s">
        <v>43</v>
      </c>
      <c r="G6" s="3" t="s">
        <v>44</v>
      </c>
      <c r="H6" s="3" t="s">
        <v>45</v>
      </c>
      <c r="I6" s="4" t="s">
        <v>46</v>
      </c>
      <c r="J6" s="3" t="s">
        <v>47</v>
      </c>
      <c r="K6" s="5" t="s">
        <v>48</v>
      </c>
      <c r="L6" s="3" t="s">
        <v>22</v>
      </c>
      <c r="M6" s="3" t="s">
        <v>23</v>
      </c>
    </row>
    <row r="7" spans="1:19" ht="15.75" customHeight="1">
      <c r="A7" s="6">
        <v>46164.674772384256</v>
      </c>
      <c r="B7" s="7" t="s">
        <v>130</v>
      </c>
      <c r="C7" s="7" t="s">
        <v>190</v>
      </c>
      <c r="D7" s="7" t="s">
        <v>191</v>
      </c>
      <c r="E7" s="7" t="s">
        <v>192</v>
      </c>
      <c r="F7" s="7" t="s">
        <v>192</v>
      </c>
      <c r="G7" s="7" t="s">
        <v>193</v>
      </c>
      <c r="H7" s="7" t="s">
        <v>194</v>
      </c>
      <c r="I7" s="9" t="s">
        <v>195</v>
      </c>
      <c r="J7" s="7" t="s">
        <v>196</v>
      </c>
      <c r="K7" s="10" t="s">
        <v>197</v>
      </c>
      <c r="L7" s="7" t="s">
        <v>22</v>
      </c>
      <c r="M7" s="7" t="s">
        <v>139</v>
      </c>
      <c r="N7" s="8"/>
      <c r="O7" s="8"/>
      <c r="P7" s="8"/>
      <c r="Q7" s="8"/>
      <c r="R7" s="8"/>
      <c r="S7" s="8"/>
    </row>
    <row r="8" spans="1:19" ht="15.75" customHeight="1">
      <c r="A8" s="2">
        <v>46166.480468368056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4" t="s">
        <v>56</v>
      </c>
      <c r="J8" s="3" t="s">
        <v>57</v>
      </c>
      <c r="K8" s="5" t="s">
        <v>58</v>
      </c>
      <c r="L8" s="3" t="s">
        <v>22</v>
      </c>
      <c r="M8" s="3" t="s">
        <v>59</v>
      </c>
    </row>
    <row r="9" spans="1:19" ht="15.75" customHeight="1">
      <c r="A9" s="2">
        <v>46166.611036574075</v>
      </c>
      <c r="B9" s="3" t="s">
        <v>32</v>
      </c>
      <c r="C9" s="3" t="s">
        <v>41</v>
      </c>
      <c r="D9" s="3" t="s">
        <v>60</v>
      </c>
      <c r="E9" s="3" t="s">
        <v>61</v>
      </c>
      <c r="F9" s="3" t="s">
        <v>61</v>
      </c>
      <c r="G9" s="3" t="s">
        <v>62</v>
      </c>
      <c r="H9" s="3" t="s">
        <v>63</v>
      </c>
      <c r="I9" s="4" t="s">
        <v>64</v>
      </c>
      <c r="J9" s="3" t="s">
        <v>65</v>
      </c>
      <c r="K9" s="5" t="s">
        <v>66</v>
      </c>
      <c r="L9" s="3" t="s">
        <v>22</v>
      </c>
      <c r="M9" s="3" t="s">
        <v>23</v>
      </c>
    </row>
    <row r="10" spans="1:19" ht="15.75" customHeight="1">
      <c r="A10" s="2">
        <v>46166.703008750002</v>
      </c>
      <c r="B10" s="3" t="s">
        <v>32</v>
      </c>
      <c r="C10" s="3" t="s">
        <v>14</v>
      </c>
      <c r="D10" s="3" t="s">
        <v>67</v>
      </c>
      <c r="E10" s="3" t="s">
        <v>68</v>
      </c>
      <c r="G10" s="3" t="s">
        <v>69</v>
      </c>
      <c r="H10" s="3" t="s">
        <v>70</v>
      </c>
      <c r="I10" s="4" t="s">
        <v>71</v>
      </c>
      <c r="J10" s="3" t="s">
        <v>72</v>
      </c>
      <c r="K10" s="5" t="s">
        <v>73</v>
      </c>
      <c r="L10" s="3" t="s">
        <v>22</v>
      </c>
      <c r="M10" s="3" t="s">
        <v>23</v>
      </c>
    </row>
    <row r="11" spans="1:19" ht="15.75" customHeight="1">
      <c r="A11" s="2">
        <v>46166.792843981486</v>
      </c>
      <c r="B11" s="3" t="s">
        <v>32</v>
      </c>
      <c r="C11" s="3" t="s">
        <v>14</v>
      </c>
      <c r="D11" s="3" t="s">
        <v>74</v>
      </c>
      <c r="E11" s="3" t="s">
        <v>75</v>
      </c>
      <c r="G11" s="3" t="s">
        <v>76</v>
      </c>
      <c r="H11" s="3" t="s">
        <v>77</v>
      </c>
      <c r="I11" s="4" t="s">
        <v>78</v>
      </c>
      <c r="J11" s="3" t="s">
        <v>79</v>
      </c>
      <c r="K11" s="5" t="s">
        <v>80</v>
      </c>
      <c r="L11" s="3" t="s">
        <v>22</v>
      </c>
      <c r="M11" s="3" t="s">
        <v>23</v>
      </c>
    </row>
    <row r="12" spans="1:19" ht="15.75" customHeight="1">
      <c r="A12" s="2">
        <v>46167.592568564811</v>
      </c>
      <c r="B12" s="3" t="s">
        <v>88</v>
      </c>
      <c r="C12" s="3" t="s">
        <v>97</v>
      </c>
      <c r="D12" s="3" t="s">
        <v>198</v>
      </c>
      <c r="E12" s="3" t="s">
        <v>99</v>
      </c>
      <c r="F12" s="3" t="s">
        <v>55</v>
      </c>
      <c r="G12" s="3" t="s">
        <v>100</v>
      </c>
      <c r="H12" s="3" t="s">
        <v>101</v>
      </c>
      <c r="I12" s="4" t="s">
        <v>102</v>
      </c>
      <c r="J12" s="3" t="s">
        <v>199</v>
      </c>
      <c r="K12" s="5" t="s">
        <v>200</v>
      </c>
      <c r="L12" s="3" t="s">
        <v>22</v>
      </c>
      <c r="M12" s="3" t="s">
        <v>23</v>
      </c>
    </row>
    <row r="13" spans="1:19" ht="15.75" customHeight="1">
      <c r="A13" s="2">
        <v>46167.674488865741</v>
      </c>
      <c r="B13" s="3" t="s">
        <v>32</v>
      </c>
      <c r="C13" s="3" t="s">
        <v>14</v>
      </c>
      <c r="D13" s="3" t="s">
        <v>81</v>
      </c>
      <c r="E13" s="3" t="s">
        <v>82</v>
      </c>
      <c r="G13" s="3" t="s">
        <v>83</v>
      </c>
      <c r="H13" s="3" t="s">
        <v>84</v>
      </c>
      <c r="I13" s="4" t="s">
        <v>85</v>
      </c>
      <c r="J13" s="3" t="s">
        <v>86</v>
      </c>
      <c r="K13" s="5" t="s">
        <v>87</v>
      </c>
      <c r="L13" s="3" t="s">
        <v>22</v>
      </c>
      <c r="M13" s="3" t="s">
        <v>23</v>
      </c>
    </row>
    <row r="14" spans="1:19" ht="15.75" customHeight="1">
      <c r="A14" s="2">
        <v>46167.993665833332</v>
      </c>
      <c r="B14" s="3" t="s">
        <v>88</v>
      </c>
      <c r="C14" s="3" t="s">
        <v>89</v>
      </c>
      <c r="D14" s="3" t="s">
        <v>90</v>
      </c>
      <c r="E14" s="3" t="s">
        <v>91</v>
      </c>
      <c r="G14" s="3" t="s">
        <v>92</v>
      </c>
      <c r="H14" s="3" t="s">
        <v>93</v>
      </c>
      <c r="I14" s="4" t="s">
        <v>94</v>
      </c>
      <c r="J14" s="3" t="s">
        <v>95</v>
      </c>
      <c r="K14" s="5" t="s">
        <v>96</v>
      </c>
      <c r="L14" s="3" t="s">
        <v>22</v>
      </c>
      <c r="M14" s="3" t="s">
        <v>23</v>
      </c>
    </row>
    <row r="15" spans="1:19" ht="15.75" customHeight="1">
      <c r="A15" s="2">
        <v>46168.605050578699</v>
      </c>
      <c r="B15" s="3" t="s">
        <v>88</v>
      </c>
      <c r="C15" s="3" t="s">
        <v>97</v>
      </c>
      <c r="D15" s="3" t="s">
        <v>98</v>
      </c>
      <c r="E15" s="3" t="s">
        <v>99</v>
      </c>
      <c r="F15" s="3" t="s">
        <v>55</v>
      </c>
      <c r="G15" s="3" t="s">
        <v>100</v>
      </c>
      <c r="H15" s="3" t="s">
        <v>101</v>
      </c>
      <c r="I15" s="4" t="s">
        <v>102</v>
      </c>
      <c r="J15" s="3" t="s">
        <v>103</v>
      </c>
      <c r="K15" s="5" t="s">
        <v>104</v>
      </c>
      <c r="L15" s="3" t="s">
        <v>22</v>
      </c>
      <c r="M15" s="3" t="s">
        <v>23</v>
      </c>
    </row>
    <row r="16" spans="1:19" ht="15.75" customHeight="1">
      <c r="A16" s="2">
        <v>46168.764793692128</v>
      </c>
      <c r="B16" s="3" t="s">
        <v>105</v>
      </c>
      <c r="C16" s="3" t="s">
        <v>106</v>
      </c>
      <c r="D16" s="3" t="s">
        <v>107</v>
      </c>
      <c r="E16" s="3" t="s">
        <v>108</v>
      </c>
      <c r="G16" s="3" t="s">
        <v>109</v>
      </c>
      <c r="H16" s="3" t="s">
        <v>110</v>
      </c>
      <c r="I16" s="4" t="s">
        <v>111</v>
      </c>
      <c r="J16" s="3" t="s">
        <v>112</v>
      </c>
      <c r="K16" s="5" t="s">
        <v>113</v>
      </c>
      <c r="L16" s="3" t="s">
        <v>22</v>
      </c>
      <c r="M16" s="3" t="s">
        <v>23</v>
      </c>
    </row>
    <row r="17" spans="1:13" ht="15.75" customHeight="1">
      <c r="A17" s="2">
        <v>46169.468343923611</v>
      </c>
      <c r="B17" s="3" t="s">
        <v>32</v>
      </c>
      <c r="C17" s="3" t="s">
        <v>114</v>
      </c>
      <c r="D17" s="3" t="s">
        <v>115</v>
      </c>
      <c r="E17" s="3" t="s">
        <v>116</v>
      </c>
      <c r="G17" s="3" t="s">
        <v>117</v>
      </c>
      <c r="H17" s="3" t="s">
        <v>118</v>
      </c>
      <c r="I17" s="4" t="s">
        <v>119</v>
      </c>
      <c r="J17" s="3" t="s">
        <v>120</v>
      </c>
      <c r="K17" s="5" t="s">
        <v>121</v>
      </c>
      <c r="L17" s="3" t="s">
        <v>22</v>
      </c>
      <c r="M17" s="3" t="s">
        <v>23</v>
      </c>
    </row>
    <row r="18" spans="1:13" ht="15.75" customHeight="1">
      <c r="A18" s="2">
        <v>46169.650862499999</v>
      </c>
      <c r="B18" s="3" t="s">
        <v>122</v>
      </c>
      <c r="C18" s="3" t="s">
        <v>14</v>
      </c>
      <c r="D18" s="3" t="s">
        <v>123</v>
      </c>
      <c r="E18" s="3" t="s">
        <v>124</v>
      </c>
      <c r="G18" s="3" t="s">
        <v>125</v>
      </c>
      <c r="H18" s="3" t="s">
        <v>126</v>
      </c>
      <c r="I18" s="3" t="s">
        <v>127</v>
      </c>
      <c r="J18" s="3" t="s">
        <v>128</v>
      </c>
      <c r="K18" s="5" t="s">
        <v>129</v>
      </c>
      <c r="L18" s="3" t="s">
        <v>22</v>
      </c>
      <c r="M18" s="3" t="s">
        <v>59</v>
      </c>
    </row>
    <row r="19" spans="1:13" ht="15.75" customHeight="1">
      <c r="A19" s="2">
        <v>46169.897239999998</v>
      </c>
      <c r="B19" s="3" t="s">
        <v>130</v>
      </c>
      <c r="C19" s="3" t="s">
        <v>131</v>
      </c>
      <c r="D19" s="3" t="s">
        <v>132</v>
      </c>
      <c r="E19" s="3" t="s">
        <v>133</v>
      </c>
      <c r="G19" s="3" t="s">
        <v>134</v>
      </c>
      <c r="H19" s="3" t="s">
        <v>135</v>
      </c>
      <c r="I19" s="4" t="s">
        <v>136</v>
      </c>
      <c r="J19" s="3" t="s">
        <v>137</v>
      </c>
      <c r="K19" s="5" t="s">
        <v>138</v>
      </c>
      <c r="L19" s="3" t="s">
        <v>22</v>
      </c>
      <c r="M19" s="3" t="s">
        <v>139</v>
      </c>
    </row>
    <row r="20" spans="1:13" ht="12.45">
      <c r="A20" s="2">
        <v>46170.561378645834</v>
      </c>
      <c r="B20" s="3" t="s">
        <v>32</v>
      </c>
      <c r="C20" s="3" t="s">
        <v>14</v>
      </c>
      <c r="D20" s="3" t="s">
        <v>140</v>
      </c>
      <c r="E20" s="3" t="s">
        <v>141</v>
      </c>
      <c r="G20" s="3" t="s">
        <v>142</v>
      </c>
      <c r="H20" s="3" t="s">
        <v>143</v>
      </c>
      <c r="I20" s="4" t="s">
        <v>144</v>
      </c>
      <c r="J20" s="3" t="s">
        <v>145</v>
      </c>
      <c r="K20" s="5" t="s">
        <v>146</v>
      </c>
      <c r="L20" s="3" t="s">
        <v>22</v>
      </c>
      <c r="M20" s="3" t="s">
        <v>23</v>
      </c>
    </row>
    <row r="21" spans="1:13" ht="12.45">
      <c r="A21" s="2">
        <v>46170.899861157406</v>
      </c>
      <c r="B21" s="3" t="s">
        <v>130</v>
      </c>
      <c r="C21" s="3" t="s">
        <v>147</v>
      </c>
      <c r="D21" s="3" t="s">
        <v>148</v>
      </c>
      <c r="E21" s="3" t="s">
        <v>149</v>
      </c>
      <c r="G21" s="3" t="s">
        <v>150</v>
      </c>
      <c r="I21" s="4" t="s">
        <v>151</v>
      </c>
      <c r="J21" s="3" t="s">
        <v>152</v>
      </c>
      <c r="K21" s="5" t="s">
        <v>153</v>
      </c>
      <c r="L21" s="3" t="s">
        <v>22</v>
      </c>
      <c r="M21" s="3" t="s">
        <v>139</v>
      </c>
    </row>
    <row r="22" spans="1:13" ht="12.45">
      <c r="A22" s="2">
        <v>46170.970721585647</v>
      </c>
      <c r="B22" s="3" t="s">
        <v>32</v>
      </c>
      <c r="C22" s="3" t="s">
        <v>154</v>
      </c>
      <c r="D22" s="3" t="s">
        <v>155</v>
      </c>
      <c r="E22" s="3" t="s">
        <v>156</v>
      </c>
      <c r="G22" s="3" t="s">
        <v>157</v>
      </c>
      <c r="H22" s="3" t="s">
        <v>158</v>
      </c>
      <c r="I22" s="4" t="s">
        <v>159</v>
      </c>
      <c r="J22" s="3" t="s">
        <v>160</v>
      </c>
      <c r="K22" s="5" t="s">
        <v>161</v>
      </c>
      <c r="L22" s="3" t="s">
        <v>22</v>
      </c>
      <c r="M22" s="3" t="s">
        <v>23</v>
      </c>
    </row>
    <row r="23" spans="1:13" ht="12.45">
      <c r="A23" s="2">
        <v>46170.990215034719</v>
      </c>
      <c r="B23" s="3" t="s">
        <v>32</v>
      </c>
      <c r="C23" s="3" t="s">
        <v>154</v>
      </c>
      <c r="D23" s="3" t="s">
        <v>162</v>
      </c>
      <c r="E23" s="3" t="s">
        <v>163</v>
      </c>
      <c r="G23" s="3" t="s">
        <v>164</v>
      </c>
      <c r="H23" s="3" t="s">
        <v>165</v>
      </c>
      <c r="I23" s="4" t="s">
        <v>166</v>
      </c>
      <c r="J23" s="3" t="s">
        <v>167</v>
      </c>
      <c r="K23" s="5" t="s">
        <v>168</v>
      </c>
      <c r="L23" s="3" t="s">
        <v>22</v>
      </c>
      <c r="M23" s="3" t="s">
        <v>23</v>
      </c>
    </row>
    <row r="24" spans="1:13" ht="12.45">
      <c r="A24" s="2">
        <v>46171.256158888893</v>
      </c>
      <c r="B24" s="3" t="s">
        <v>169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4" t="s">
        <v>176</v>
      </c>
      <c r="J24" s="3" t="s">
        <v>177</v>
      </c>
      <c r="K24" s="5" t="s">
        <v>178</v>
      </c>
      <c r="L24" s="3" t="s">
        <v>22</v>
      </c>
      <c r="M24" s="3" t="s">
        <v>23</v>
      </c>
    </row>
  </sheetData>
  <phoneticPr fontId="6" type="noConversion"/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5" r:id="rId4" xr:uid="{00000000-0004-0000-0100-000003000000}"/>
    <hyperlink ref="K6" r:id="rId5" xr:uid="{00000000-0004-0000-0100-000004000000}"/>
    <hyperlink ref="K7" r:id="rId6" xr:uid="{00000000-0004-0000-0100-000005000000}"/>
    <hyperlink ref="K8" r:id="rId7" xr:uid="{00000000-0004-0000-0100-000006000000}"/>
    <hyperlink ref="K9" r:id="rId8" xr:uid="{00000000-0004-0000-0100-000007000000}"/>
    <hyperlink ref="K10" r:id="rId9" xr:uid="{00000000-0004-0000-0100-000008000000}"/>
    <hyperlink ref="K11" r:id="rId10" xr:uid="{00000000-0004-0000-0100-000009000000}"/>
    <hyperlink ref="K12" r:id="rId11" xr:uid="{00000000-0004-0000-0100-00000A000000}"/>
    <hyperlink ref="K13" r:id="rId12" xr:uid="{00000000-0004-0000-0100-00000B000000}"/>
    <hyperlink ref="K14" r:id="rId13" xr:uid="{00000000-0004-0000-0100-00000C000000}"/>
    <hyperlink ref="K15" r:id="rId14" xr:uid="{00000000-0004-0000-0100-00000D000000}"/>
    <hyperlink ref="K16" r:id="rId15" xr:uid="{00000000-0004-0000-0100-00000E000000}"/>
    <hyperlink ref="K17" r:id="rId16" xr:uid="{00000000-0004-0000-0100-00000F000000}"/>
    <hyperlink ref="K18" r:id="rId17" xr:uid="{00000000-0004-0000-0100-000010000000}"/>
    <hyperlink ref="K19" r:id="rId18" xr:uid="{00000000-0004-0000-0100-000011000000}"/>
    <hyperlink ref="K20" r:id="rId19" xr:uid="{00000000-0004-0000-0100-000012000000}"/>
    <hyperlink ref="K21" r:id="rId20" xr:uid="{00000000-0004-0000-0100-000013000000}"/>
    <hyperlink ref="K22" r:id="rId21" xr:uid="{00000000-0004-0000-0100-000014000000}"/>
    <hyperlink ref="K23" r:id="rId22" xr:uid="{00000000-0004-0000-0100-000015000000}"/>
    <hyperlink ref="K24" r:id="rId23" xr:uid="{00000000-0004-0000-01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管理組報告順序</vt:lpstr>
      <vt:lpstr>表單回覆 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sc154@gms.tcu.edu.tw</cp:lastModifiedBy>
  <dcterms:modified xsi:type="dcterms:W3CDTF">2026-06-05T05:36:18Z</dcterms:modified>
</cp:coreProperties>
</file>