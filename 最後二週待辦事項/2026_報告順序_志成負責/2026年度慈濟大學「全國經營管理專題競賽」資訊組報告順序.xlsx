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.服務\000.科管系工作事項\0.2026全國專題競賽\2026全國經營管理專題競賽MD\最後二週待辦事項\2026_報告順序_志成負責\"/>
    </mc:Choice>
  </mc:AlternateContent>
  <bookViews>
    <workbookView xWindow="0" yWindow="0" windowWidth="23040" windowHeight="972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6" i="1" s="1"/>
  <c r="D27" i="1" s="1"/>
  <c r="D28" i="1" s="1"/>
  <c r="D29" i="1" s="1"/>
  <c r="D30" i="1" s="1"/>
  <c r="D18" i="1"/>
  <c r="D19" i="1" s="1"/>
  <c r="D20" i="1" s="1"/>
  <c r="D21" i="1" s="1"/>
  <c r="D22" i="1" s="1"/>
  <c r="D11" i="1"/>
  <c r="D12" i="1" s="1"/>
  <c r="D13" i="1" s="1"/>
  <c r="D14" i="1" s="1"/>
  <c r="D15" i="1" s="1"/>
  <c r="D4" i="1"/>
  <c r="D5" i="1" s="1"/>
  <c r="D6" i="1" s="1"/>
  <c r="D7" i="1" s="1"/>
  <c r="D8" i="1" s="1"/>
</calcChain>
</file>

<file path=xl/sharedStrings.xml><?xml version="1.0" encoding="utf-8"?>
<sst xmlns="http://schemas.openxmlformats.org/spreadsheetml/2006/main" count="102" uniqueCount="73">
  <si>
    <t>場次一</t>
  </si>
  <si>
    <t>場次三</t>
  </si>
  <si>
    <t>場次</t>
    <phoneticPr fontId="2" type="noConversion"/>
  </si>
  <si>
    <t>專題題目</t>
  </si>
  <si>
    <t>報告
(開始時間)</t>
    <phoneticPr fontId="2" type="noConversion"/>
  </si>
  <si>
    <t>學校，系所，組長-連絡電話
組員</t>
    <phoneticPr fontId="2" type="noConversion"/>
  </si>
  <si>
    <t>報告方式</t>
  </si>
  <si>
    <t>路況異常AI偵測系統</t>
    <phoneticPr fontId="2" type="noConversion"/>
  </si>
  <si>
    <t>1、線上報告
(花蓮地區選手)</t>
    <phoneticPr fontId="2" type="noConversion"/>
  </si>
  <si>
    <t>結合生成式AI與影音分析之健康互動學習系統</t>
  </si>
  <si>
    <t>地下道水位AI偵測</t>
  </si>
  <si>
    <t>1、線上報告
(花蓮地區選手)</t>
    <phoneticPr fontId="2" type="noConversion"/>
  </si>
  <si>
    <t>智慧社交桌寵系統</t>
  </si>
  <si>
    <t>AI膳罷甘休：智慧理想體態</t>
  </si>
  <si>
    <t>學校，系所，組長-連絡電話
組員</t>
    <phoneticPr fontId="2" type="noConversion"/>
  </si>
  <si>
    <t>報告方式</t>
    <phoneticPr fontId="2" type="noConversion"/>
  </si>
  <si>
    <t>AI訂餐通報系統</t>
  </si>
  <si>
    <t>字與地下城</t>
  </si>
  <si>
    <t>智慧物聯實驗室-人員管制偵測系統</t>
  </si>
  <si>
    <t>慈濟大學，資訊科技與管理學系，艾桐恩-0981531384，
潘柏宇，梁家寶</t>
    <phoneticPr fontId="2" type="noConversion"/>
  </si>
  <si>
    <t>基於混合式架構與輕量化 Transformer 之邊緣端即時寵物行為偵測系統</t>
    <phoneticPr fontId="2" type="noConversion"/>
  </si>
  <si>
    <t>國立東華大學，資訊工程學系，宋沛倢-0912565058
趙子傑、劉正華、李翊綸</t>
    <phoneticPr fontId="2" type="noConversion"/>
  </si>
  <si>
    <t>二手機車交易平台</t>
  </si>
  <si>
    <t>2.線上報告
(非花蓮地區選手)</t>
    <phoneticPr fontId="2" type="noConversion"/>
  </si>
  <si>
    <t>花卉庫存管理系統</t>
  </si>
  <si>
    <t>南臺科技大學, 資訊管理系,馬從爾-0911783330
黃柏峻</t>
    <phoneticPr fontId="2" type="noConversion"/>
  </si>
  <si>
    <t>整合MVC架構與LINE BOT技術 建構跨平台之二手交易系統</t>
  </si>
  <si>
    <t>動物拼圖Animal Puzzle Game</t>
  </si>
  <si>
    <t>組
別</t>
    <phoneticPr fontId="2" type="noConversion"/>
  </si>
  <si>
    <t>報告
(開始時間)</t>
    <phoneticPr fontId="2" type="noConversion"/>
  </si>
  <si>
    <t>場次四</t>
    <phoneticPr fontId="2" type="noConversion"/>
  </si>
  <si>
    <t>一定藥更好-基於人工智慧與物聯網之智慧藥倉</t>
  </si>
  <si>
    <t>月語</t>
  </si>
  <si>
    <t>磚心聽-智慧共融導引系統</t>
  </si>
  <si>
    <t>亞東科技大學，工商業設計系, 陳恒毅-0902358917
林詩庭</t>
    <phoneticPr fontId="2" type="noConversion"/>
  </si>
  <si>
    <t>急中生智:急診檢傷與輔助決策系統(Emergency triage and decision support system)</t>
  </si>
  <si>
    <t>輔仁大學，工商業設計系, 孫語謙-0966013515
周雨潔、朱庭徵、林姵晨、曲楷凌</t>
    <phoneticPr fontId="2" type="noConversion"/>
  </si>
  <si>
    <t>3.現場報告,
非花蓮地區選手</t>
    <phoneticPr fontId="2" type="noConversion"/>
  </si>
  <si>
    <t>結束時間</t>
    <phoneticPr fontId="2" type="noConversion"/>
  </si>
  <si>
    <t>2026全國經營管理專題競賽-資訊組報告順序</t>
    <phoneticPr fontId="2" type="noConversion"/>
  </si>
  <si>
    <t>場次</t>
    <phoneticPr fontId="2" type="noConversion"/>
  </si>
  <si>
    <t>組
別</t>
    <phoneticPr fontId="2" type="noConversion"/>
  </si>
  <si>
    <t>智藥守護者：AI用藥與情緒感知系統</t>
    <phoneticPr fontId="2" type="noConversion"/>
  </si>
  <si>
    <t>慈濟大學，資訊科技與管理學系，黃美媛-0916022536，
徐正福，丘愛笑</t>
    <phoneticPr fontId="2" type="noConversion"/>
  </si>
  <si>
    <t>慈濟大學，資訊科技與管理學系，陳姿婷-0913609733，
周紘名，張洳瑋，林恩瑜</t>
    <phoneticPr fontId="2" type="noConversion"/>
  </si>
  <si>
    <t>慈濟大學，資訊科技與管理學系，康仲誼-0906981692，
陳浩祥,唐麒宸</t>
    <phoneticPr fontId="2" type="noConversion"/>
  </si>
  <si>
    <t>慈濟大學，資訊科技與管理學系，鄧少睿-0966581551，
賴芳婕，林淑鳳</t>
    <phoneticPr fontId="2" type="noConversion"/>
  </si>
  <si>
    <t>1、線上報告
(花蓮地區選手)</t>
    <phoneticPr fontId="2" type="noConversion"/>
  </si>
  <si>
    <t>慈濟大學，資訊科技與管理學系，黃識熹-0970463598，
李凡皓、李彥均</t>
    <phoneticPr fontId="2" type="noConversion"/>
  </si>
  <si>
    <t>慈濟大學，資訊科技與管理學系，羅彥均-0975890532，
羅品源，林晨睿</t>
    <phoneticPr fontId="2" type="noConversion"/>
  </si>
  <si>
    <t>場次二</t>
    <phoneticPr fontId="2" type="noConversion"/>
  </si>
  <si>
    <t>慈濟大學，資訊科技與管理學系，傅泓堯-0909568213，
蔡明亮/葉子儀/林岑華</t>
    <phoneticPr fontId="2" type="noConversion"/>
  </si>
  <si>
    <t>慈濟大學，資訊科技與管理學系，姜宇昕-0907321922，
林以諾，趙少謙</t>
    <phoneticPr fontId="2" type="noConversion"/>
  </si>
  <si>
    <t>基於大型語言模型與RAG檢索增強生成架構之智慧師生互動平台設計</t>
    <phoneticPr fontId="2" type="noConversion"/>
  </si>
  <si>
    <t>慈濟大學，資訊科技與管理學系，張梅墡-0926150256，
李金惠，林明婷，王曉蓓</t>
    <phoneticPr fontId="2" type="noConversion"/>
  </si>
  <si>
    <t>洄瀾衣鏡 - AI 在地時尚導購平台</t>
    <phoneticPr fontId="2" type="noConversion"/>
  </si>
  <si>
    <t>國立東華大學，資訊工程學系，王振宇-0918699696
李重佑，蘇奇威，謝承翰</t>
    <phoneticPr fontId="2" type="noConversion"/>
  </si>
  <si>
    <t>國立東華大學，資訊工程學系，劉紫瀅-0906807765
周昕穎, 陳玗昀, 郭奕伶</t>
    <phoneticPr fontId="2" type="noConversion"/>
  </si>
  <si>
    <t>結合跨階段知識記憶鏈結與檢索增強生成的沉浸式面試訓練平台</t>
    <phoneticPr fontId="2" type="noConversion"/>
  </si>
  <si>
    <t>1、線上報告 
(花蓮地區選手)</t>
    <phoneticPr fontId="2" type="noConversion"/>
  </si>
  <si>
    <t xml:space="preserve">校園AI資訊助理平台以檢索增強生成(RAG)與多代理協作為核心之校園知識問答 系統 </t>
    <phoneticPr fontId="2" type="noConversion"/>
  </si>
  <si>
    <t xml:space="preserve">慈濟大學，資訊科技與管理學系，周德耐-0989752471
</t>
    <phoneticPr fontId="2" type="noConversion"/>
  </si>
  <si>
    <t>南臺科技大學，資訊管理系,李佳頴-0905733956
鍾凱杰，吳明諭</t>
    <phoneticPr fontId="2" type="noConversion"/>
  </si>
  <si>
    <t>2.線上報告
(非花蓮地區選手)</t>
    <phoneticPr fontId="2" type="noConversion"/>
  </si>
  <si>
    <t>德明財經科技大學, 資訊科技系,林均豐-0921288325
盧冠智,江翰婷,謝茂松</t>
    <phoneticPr fontId="2" type="noConversion"/>
  </si>
  <si>
    <t>南臺科技大學，資訊管理系, 張閔凱-0909712273
蕭立明，陳冠宏，顏崇峻</t>
    <phoneticPr fontId="2" type="noConversion"/>
  </si>
  <si>
    <t>國立雲林科技大學, 資訊管理系, 陳德恩-0912731296
陳冠欣、張荃宇</t>
    <phoneticPr fontId="2" type="noConversion"/>
  </si>
  <si>
    <t>德明財經科技大學, 資訊管理系,邱婉瑈-0905773630
林佳欣, 林宇蓉, 張理惇</t>
    <phoneticPr fontId="2" type="noConversion"/>
  </si>
  <si>
    <t>2.線上報告
(非花蓮地區選手)</t>
    <phoneticPr fontId="2" type="noConversion"/>
  </si>
  <si>
    <t>An Intuitionistic Fuzzy–Based Framework for Sustainable Development Selection under Incomplete Information</t>
    <phoneticPr fontId="2" type="noConversion"/>
  </si>
  <si>
    <t>陸軍軍官學校，管理科學系,張桂琥-0937215657
周柏元</t>
    <phoneticPr fontId="2" type="noConversion"/>
  </si>
  <si>
    <t>ActiTrack 運動姿勢的辨識系統</t>
    <phoneticPr fontId="2" type="noConversion"/>
  </si>
  <si>
    <t>德明財經科技大學，資訊管理學系,吳采臻-0902208183
陸思彥，立石剛士，王敬儀，許維哲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</si>
</sst>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新細明體"/>
      <family val="2"/>
      <charset val="136"/>
      <scheme val="minor"/>
    </font>
    <font>
      <b/>
      <sz val="14"/>
      <color rgb="FF1F1F1F"/>
      <name val="DFKai-SB"/>
      <family val="4"/>
      <charset val="136"/>
    </font>
    <font>
      <sz val="9"/>
      <name val="新細明體"/>
      <family val="2"/>
      <charset val="136"/>
      <scheme val="minor"/>
    </font>
    <font>
      <sz val="14"/>
      <color theme="1"/>
      <name val="DFKai-SB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rgb="FF1F1F1F"/>
      <name val="標楷體"/>
      <family val="4"/>
      <charset val="136"/>
    </font>
    <font>
      <b/>
      <sz val="14"/>
      <color theme="1"/>
      <name val="DFKai-SB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DFKai-SB"/>
      <family val="4"/>
      <charset val="136"/>
    </font>
    <font>
      <sz val="14"/>
      <color rgb="FF000000"/>
      <name val="標楷體"/>
      <family val="4"/>
      <charset val="136"/>
    </font>
    <font>
      <sz val="10"/>
      <color rgb="FF000000"/>
      <name val="新細明體"/>
      <family val="2"/>
      <scheme val="minor"/>
    </font>
    <font>
      <sz val="10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0" fontId="3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 wrapText="1"/>
    </xf>
    <xf numFmtId="20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20" fontId="10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quotePrefix="1" applyFont="1" applyAlignment="1"/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3" workbookViewId="0">
      <selection sqref="A1:XFD1048576"/>
    </sheetView>
  </sheetViews>
  <sheetFormatPr defaultRowHeight="19.8"/>
  <cols>
    <col min="1" max="1" width="8" style="2" customWidth="1"/>
    <col min="2" max="2" width="5.44140625" style="2" customWidth="1"/>
    <col min="3" max="3" width="47.77734375" style="17" customWidth="1"/>
    <col min="4" max="4" width="17" style="2" customWidth="1"/>
    <col min="5" max="5" width="78.77734375" style="17" customWidth="1"/>
    <col min="6" max="6" width="16.88671875" style="18" customWidth="1"/>
    <col min="7" max="7" width="39.77734375" style="2" customWidth="1"/>
    <col min="8" max="16384" width="8.88671875" style="2"/>
  </cols>
  <sheetData>
    <row r="1" spans="1:7" ht="24.6">
      <c r="A1" s="24" t="s">
        <v>39</v>
      </c>
      <c r="B1" s="25"/>
      <c r="C1" s="25"/>
      <c r="D1" s="25"/>
      <c r="E1" s="25"/>
      <c r="F1" s="26"/>
      <c r="G1" s="3"/>
    </row>
    <row r="2" spans="1:7" ht="39.6">
      <c r="A2" s="1" t="s">
        <v>40</v>
      </c>
      <c r="B2" s="1" t="s">
        <v>41</v>
      </c>
      <c r="C2" s="4" t="s">
        <v>3</v>
      </c>
      <c r="D2" s="5" t="s">
        <v>4</v>
      </c>
      <c r="E2" s="6" t="s">
        <v>5</v>
      </c>
      <c r="F2" s="6" t="s">
        <v>6</v>
      </c>
      <c r="G2" s="3"/>
    </row>
    <row r="3" spans="1:7" ht="39.6">
      <c r="A3" s="20" t="s">
        <v>0</v>
      </c>
      <c r="B3" s="7">
        <v>1</v>
      </c>
      <c r="C3" s="8" t="s">
        <v>42</v>
      </c>
      <c r="D3" s="9">
        <v>0.41666666666666669</v>
      </c>
      <c r="E3" s="10" t="s">
        <v>43</v>
      </c>
      <c r="F3" s="11" t="s">
        <v>8</v>
      </c>
      <c r="G3" s="12"/>
    </row>
    <row r="4" spans="1:7" ht="39.6">
      <c r="A4" s="21"/>
      <c r="B4" s="7">
        <v>2</v>
      </c>
      <c r="C4" s="8" t="s">
        <v>7</v>
      </c>
      <c r="D4" s="9">
        <f>D3 + TIME(0,13,0)</f>
        <v>0.42569444444444449</v>
      </c>
      <c r="E4" s="10" t="s">
        <v>44</v>
      </c>
      <c r="F4" s="11" t="s">
        <v>8</v>
      </c>
      <c r="G4" s="3"/>
    </row>
    <row r="5" spans="1:7" ht="39.6">
      <c r="A5" s="21"/>
      <c r="B5" s="7">
        <v>3</v>
      </c>
      <c r="C5" s="13" t="s">
        <v>9</v>
      </c>
      <c r="D5" s="9">
        <f>D4 + TIME(0,13,0)</f>
        <v>0.43472222222222229</v>
      </c>
      <c r="E5" s="10" t="s">
        <v>45</v>
      </c>
      <c r="F5" s="11" t="s">
        <v>8</v>
      </c>
      <c r="G5" s="12"/>
    </row>
    <row r="6" spans="1:7" ht="39.6">
      <c r="A6" s="21"/>
      <c r="B6" s="7">
        <v>4</v>
      </c>
      <c r="C6" s="13" t="s">
        <v>10</v>
      </c>
      <c r="D6" s="9">
        <f t="shared" ref="D6:D8" si="0">D5 + TIME(0,13,0)</f>
        <v>0.44375000000000009</v>
      </c>
      <c r="E6" s="10" t="s">
        <v>46</v>
      </c>
      <c r="F6" s="11" t="s">
        <v>47</v>
      </c>
      <c r="G6" s="3"/>
    </row>
    <row r="7" spans="1:7" ht="39.6">
      <c r="A7" s="21"/>
      <c r="B7" s="7">
        <v>5</v>
      </c>
      <c r="C7" s="13" t="s">
        <v>12</v>
      </c>
      <c r="D7" s="9">
        <f t="shared" si="0"/>
        <v>0.45277777777777789</v>
      </c>
      <c r="E7" s="10" t="s">
        <v>48</v>
      </c>
      <c r="F7" s="11" t="s">
        <v>11</v>
      </c>
      <c r="G7" s="12"/>
    </row>
    <row r="8" spans="1:7" ht="39.6">
      <c r="A8" s="22"/>
      <c r="B8" s="7">
        <v>6</v>
      </c>
      <c r="C8" s="13" t="s">
        <v>13</v>
      </c>
      <c r="D8" s="9">
        <f t="shared" si="0"/>
        <v>0.46180555555555569</v>
      </c>
      <c r="E8" s="10" t="s">
        <v>49</v>
      </c>
      <c r="F8" s="11" t="s">
        <v>11</v>
      </c>
      <c r="G8" s="3"/>
    </row>
    <row r="9" spans="1:7" ht="39.6">
      <c r="A9" s="1" t="s">
        <v>2</v>
      </c>
      <c r="B9" s="1" t="s">
        <v>28</v>
      </c>
      <c r="C9" s="4" t="s">
        <v>3</v>
      </c>
      <c r="D9" s="5" t="s">
        <v>29</v>
      </c>
      <c r="E9" s="6" t="s">
        <v>14</v>
      </c>
      <c r="F9" s="6" t="s">
        <v>15</v>
      </c>
      <c r="G9" s="3"/>
    </row>
    <row r="10" spans="1:7" ht="39.6">
      <c r="A10" s="20" t="s">
        <v>50</v>
      </c>
      <c r="B10" s="7">
        <v>7</v>
      </c>
      <c r="C10" s="13" t="s">
        <v>16</v>
      </c>
      <c r="D10" s="9">
        <v>0.46875</v>
      </c>
      <c r="E10" s="10" t="s">
        <v>51</v>
      </c>
      <c r="F10" s="11" t="s">
        <v>8</v>
      </c>
      <c r="G10" s="3"/>
    </row>
    <row r="11" spans="1:7" ht="39.6">
      <c r="A11" s="21"/>
      <c r="B11" s="7">
        <v>8</v>
      </c>
      <c r="C11" s="13" t="s">
        <v>17</v>
      </c>
      <c r="D11" s="9">
        <f>D10 + TIME(0,13,0)</f>
        <v>0.4777777777777778</v>
      </c>
      <c r="E11" s="10" t="s">
        <v>52</v>
      </c>
      <c r="F11" s="11" t="s">
        <v>8</v>
      </c>
      <c r="G11" s="3"/>
    </row>
    <row r="12" spans="1:7" ht="39.6">
      <c r="A12" s="21"/>
      <c r="B12" s="7">
        <v>9</v>
      </c>
      <c r="C12" s="13" t="s">
        <v>18</v>
      </c>
      <c r="D12" s="9">
        <f t="shared" ref="D12:D15" si="1">D11 + TIME(0,13,0)</f>
        <v>0.4868055555555556</v>
      </c>
      <c r="E12" s="10" t="s">
        <v>19</v>
      </c>
      <c r="F12" s="11" t="s">
        <v>8</v>
      </c>
      <c r="G12" s="3"/>
    </row>
    <row r="13" spans="1:7" ht="39.6">
      <c r="A13" s="21"/>
      <c r="B13" s="7">
        <v>10</v>
      </c>
      <c r="C13" s="8" t="s">
        <v>53</v>
      </c>
      <c r="D13" s="9">
        <f t="shared" si="1"/>
        <v>0.4958333333333334</v>
      </c>
      <c r="E13" s="10" t="s">
        <v>54</v>
      </c>
      <c r="F13" s="11" t="s">
        <v>11</v>
      </c>
      <c r="G13" s="3"/>
    </row>
    <row r="14" spans="1:7" ht="39.6">
      <c r="A14" s="21"/>
      <c r="B14" s="7">
        <v>11</v>
      </c>
      <c r="C14" s="8" t="s">
        <v>55</v>
      </c>
      <c r="D14" s="9">
        <f t="shared" si="1"/>
        <v>0.5048611111111112</v>
      </c>
      <c r="E14" s="10" t="s">
        <v>56</v>
      </c>
      <c r="F14" s="11" t="s">
        <v>11</v>
      </c>
      <c r="G14" s="3"/>
    </row>
    <row r="15" spans="1:7" ht="39.6">
      <c r="A15" s="22"/>
      <c r="B15" s="7">
        <v>12</v>
      </c>
      <c r="C15" s="8" t="s">
        <v>20</v>
      </c>
      <c r="D15" s="9">
        <f t="shared" si="1"/>
        <v>0.51388888888888895</v>
      </c>
      <c r="E15" s="10" t="s">
        <v>57</v>
      </c>
      <c r="F15" s="11" t="s">
        <v>47</v>
      </c>
      <c r="G15" s="3"/>
    </row>
    <row r="16" spans="1:7" ht="39.6">
      <c r="A16" s="1" t="s">
        <v>2</v>
      </c>
      <c r="B16" s="1" t="s">
        <v>28</v>
      </c>
      <c r="C16" s="4" t="s">
        <v>3</v>
      </c>
      <c r="D16" s="5" t="s">
        <v>4</v>
      </c>
      <c r="E16" s="6" t="s">
        <v>14</v>
      </c>
      <c r="F16" s="6" t="s">
        <v>15</v>
      </c>
      <c r="G16" s="3"/>
    </row>
    <row r="17" spans="1:7" ht="39.6">
      <c r="A17" s="20" t="s">
        <v>1</v>
      </c>
      <c r="B17" s="7">
        <v>13</v>
      </c>
      <c r="C17" s="8" t="s">
        <v>58</v>
      </c>
      <c r="D17" s="9">
        <v>0.5625</v>
      </c>
      <c r="E17" s="10" t="s">
        <v>21</v>
      </c>
      <c r="F17" s="11" t="s">
        <v>59</v>
      </c>
      <c r="G17" s="3"/>
    </row>
    <row r="18" spans="1:7" ht="59.4">
      <c r="A18" s="21"/>
      <c r="B18" s="7">
        <v>14</v>
      </c>
      <c r="C18" s="8" t="s">
        <v>60</v>
      </c>
      <c r="D18" s="9">
        <f>D17 + TIME(0,13,0)</f>
        <v>0.57152777777777775</v>
      </c>
      <c r="E18" s="10" t="s">
        <v>61</v>
      </c>
      <c r="F18" s="11" t="s">
        <v>8</v>
      </c>
      <c r="G18" s="3"/>
    </row>
    <row r="19" spans="1:7" ht="39.6">
      <c r="A19" s="21"/>
      <c r="B19" s="7">
        <v>15</v>
      </c>
      <c r="C19" s="13" t="s">
        <v>22</v>
      </c>
      <c r="D19" s="9">
        <f t="shared" ref="D19:D22" si="2">D18 + TIME(0,13,0)</f>
        <v>0.58055555555555549</v>
      </c>
      <c r="E19" s="14" t="s">
        <v>62</v>
      </c>
      <c r="F19" s="15" t="s">
        <v>23</v>
      </c>
      <c r="G19" s="3"/>
    </row>
    <row r="20" spans="1:7" ht="39.6">
      <c r="A20" s="21"/>
      <c r="B20" s="7">
        <v>16</v>
      </c>
      <c r="C20" s="13" t="s">
        <v>24</v>
      </c>
      <c r="D20" s="9">
        <f t="shared" si="2"/>
        <v>0.58958333333333324</v>
      </c>
      <c r="E20" s="14" t="s">
        <v>25</v>
      </c>
      <c r="F20" s="15" t="s">
        <v>63</v>
      </c>
      <c r="G20" s="3"/>
    </row>
    <row r="21" spans="1:7" ht="39.6">
      <c r="A21" s="21"/>
      <c r="B21" s="7">
        <v>17</v>
      </c>
      <c r="C21" s="13" t="s">
        <v>26</v>
      </c>
      <c r="D21" s="9">
        <f t="shared" si="2"/>
        <v>0.59861111111111098</v>
      </c>
      <c r="E21" s="14" t="s">
        <v>64</v>
      </c>
      <c r="F21" s="15" t="s">
        <v>23</v>
      </c>
      <c r="G21" s="3"/>
    </row>
    <row r="22" spans="1:7" ht="39.6">
      <c r="A22" s="21"/>
      <c r="B22" s="7">
        <v>18</v>
      </c>
      <c r="C22" s="13" t="s">
        <v>27</v>
      </c>
      <c r="D22" s="9">
        <f t="shared" si="2"/>
        <v>0.60763888888888873</v>
      </c>
      <c r="E22" s="14" t="s">
        <v>65</v>
      </c>
      <c r="F22" s="15" t="s">
        <v>23</v>
      </c>
      <c r="G22" s="3"/>
    </row>
    <row r="23" spans="1:7" ht="39.6">
      <c r="A23" s="1" t="s">
        <v>2</v>
      </c>
      <c r="B23" s="1" t="s">
        <v>28</v>
      </c>
      <c r="C23" s="4" t="s">
        <v>3</v>
      </c>
      <c r="D23" s="5" t="s">
        <v>4</v>
      </c>
      <c r="E23" s="6" t="s">
        <v>14</v>
      </c>
      <c r="F23" s="6" t="s">
        <v>15</v>
      </c>
      <c r="G23" s="3"/>
    </row>
    <row r="24" spans="1:7" ht="39.6">
      <c r="A24" s="20" t="s">
        <v>30</v>
      </c>
      <c r="B24" s="7">
        <v>19</v>
      </c>
      <c r="C24" s="13" t="s">
        <v>31</v>
      </c>
      <c r="D24" s="9">
        <v>0.61458333333333337</v>
      </c>
      <c r="E24" s="14" t="s">
        <v>66</v>
      </c>
      <c r="F24" s="15" t="s">
        <v>63</v>
      </c>
      <c r="G24" s="3"/>
    </row>
    <row r="25" spans="1:7" ht="39.6">
      <c r="A25" s="23"/>
      <c r="B25" s="7">
        <v>20</v>
      </c>
      <c r="C25" s="13" t="s">
        <v>32</v>
      </c>
      <c r="D25" s="9">
        <f>D24 + TIME(0,13,0)</f>
        <v>0.62361111111111112</v>
      </c>
      <c r="E25" s="14" t="s">
        <v>67</v>
      </c>
      <c r="F25" s="15" t="s">
        <v>23</v>
      </c>
      <c r="G25" s="3"/>
    </row>
    <row r="26" spans="1:7" ht="39.6">
      <c r="A26" s="21"/>
      <c r="B26" s="7">
        <v>21</v>
      </c>
      <c r="C26" s="13" t="s">
        <v>33</v>
      </c>
      <c r="D26" s="9">
        <f t="shared" ref="D26:D28" si="3">D25 + TIME(0,13,0)</f>
        <v>0.63263888888888886</v>
      </c>
      <c r="E26" s="14" t="s">
        <v>34</v>
      </c>
      <c r="F26" s="15" t="s">
        <v>23</v>
      </c>
      <c r="G26" s="3"/>
    </row>
    <row r="27" spans="1:7" ht="39.6">
      <c r="A27" s="21"/>
      <c r="B27" s="7">
        <v>22</v>
      </c>
      <c r="C27" s="13" t="s">
        <v>35</v>
      </c>
      <c r="D27" s="9">
        <f t="shared" si="3"/>
        <v>0.64166666666666661</v>
      </c>
      <c r="E27" s="14" t="s">
        <v>36</v>
      </c>
      <c r="F27" s="15" t="s">
        <v>68</v>
      </c>
      <c r="G27" s="3"/>
    </row>
    <row r="28" spans="1:7" ht="79.2">
      <c r="A28" s="21"/>
      <c r="B28" s="7">
        <v>23</v>
      </c>
      <c r="C28" s="8" t="s">
        <v>69</v>
      </c>
      <c r="D28" s="9">
        <f t="shared" si="3"/>
        <v>0.65069444444444435</v>
      </c>
      <c r="E28" s="10" t="s">
        <v>70</v>
      </c>
      <c r="F28" s="11" t="s">
        <v>37</v>
      </c>
      <c r="G28" s="3"/>
    </row>
    <row r="29" spans="1:7" ht="39.6">
      <c r="A29" s="21"/>
      <c r="B29" s="7">
        <v>24</v>
      </c>
      <c r="C29" s="8" t="s">
        <v>71</v>
      </c>
      <c r="D29" s="9">
        <f>D28 + TIME(0,13,0)</f>
        <v>0.6597222222222221</v>
      </c>
      <c r="E29" s="10" t="s">
        <v>72</v>
      </c>
      <c r="F29" s="11" t="s">
        <v>37</v>
      </c>
      <c r="G29" s="3"/>
    </row>
    <row r="30" spans="1:7">
      <c r="C30" s="16" t="s">
        <v>38</v>
      </c>
      <c r="D30" s="9">
        <f>D29 + TIME(0,13,0)</f>
        <v>0.66874999999999984</v>
      </c>
    </row>
    <row r="31" spans="1:7">
      <c r="E31" s="13"/>
      <c r="F31" s="19"/>
    </row>
    <row r="32" spans="1:7">
      <c r="E32" s="13"/>
      <c r="F32" s="19"/>
    </row>
    <row r="33" spans="5:6">
      <c r="E33" s="13"/>
      <c r="F33" s="19"/>
    </row>
    <row r="34" spans="5:6">
      <c r="E34" s="13"/>
      <c r="F34" s="19"/>
    </row>
  </sheetData>
  <mergeCells count="5">
    <mergeCell ref="A3:A8"/>
    <mergeCell ref="A10:A15"/>
    <mergeCell ref="A17:A22"/>
    <mergeCell ref="A24:A29"/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2026-06-06T14:18:39Z</dcterms:created>
  <dcterms:modified xsi:type="dcterms:W3CDTF">2026-06-06T15:03:43Z</dcterms:modified>
</cp:coreProperties>
</file>