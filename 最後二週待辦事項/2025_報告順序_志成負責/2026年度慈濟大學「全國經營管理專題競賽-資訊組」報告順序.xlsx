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2.服務\000.科管系工作事項\0.2026全國專題競賽\2026全國經營管理專題競賽MD\最後二週待辦事項\2025_報告順序_志成負責\"/>
    </mc:Choice>
  </mc:AlternateContent>
  <bookViews>
    <workbookView xWindow="-108" yWindow="-108" windowWidth="22152" windowHeight="13920"/>
  </bookViews>
  <sheets>
    <sheet name="資訊組報告順序" sheetId="3" r:id="rId1"/>
    <sheet name="表單回覆 1" sheetId="1" r:id="rId2"/>
    <sheet name="線上報告_外地" sheetId="2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3" l="1"/>
  <c r="D25" i="3" l="1"/>
  <c r="D27" i="3" s="1"/>
  <c r="D28" i="3" s="1"/>
  <c r="D29" i="3" s="1"/>
  <c r="D18" i="3"/>
  <c r="D19" i="3" s="1"/>
  <c r="D20" i="3" s="1"/>
  <c r="D21" i="3" s="1"/>
  <c r="D22" i="3" s="1"/>
  <c r="D11" i="3"/>
  <c r="D12" i="3" s="1"/>
  <c r="D13" i="3" s="1"/>
  <c r="D14" i="3" s="1"/>
  <c r="D15" i="3" s="1"/>
  <c r="D4" i="3"/>
  <c r="D5" i="3" s="1"/>
  <c r="D6" i="3" s="1"/>
  <c r="D7" i="3" s="1"/>
  <c r="D8" i="3" s="1"/>
</calcChain>
</file>

<file path=xl/sharedStrings.xml><?xml version="1.0" encoding="utf-8"?>
<sst xmlns="http://schemas.openxmlformats.org/spreadsheetml/2006/main" count="383" uniqueCount="269">
  <si>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</si>
  <si>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</si>
  <si>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</si>
  <si>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</si>
  <si>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</si>
  <si>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</si>
  <si>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</si>
  <si>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</si>
  <si>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</si>
  <si>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</si>
  <si>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</si>
  <si>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</si>
  <si>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</si>
  <si>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南臺科技大學</t>
  </si>
  <si>
    <t>資訊管理系</t>
  </si>
  <si>
    <t>二手機車交易平台</t>
  </si>
  <si>
    <t>無</t>
  </si>
  <si>
    <t>南臺科技大學，李佳頴</t>
  </si>
  <si>
    <t>鍾凱杰，吳明諭</t>
  </si>
  <si>
    <t>0905733956</t>
  </si>
  <si>
    <t>njes9806</t>
  </si>
  <si>
    <t>https://drive.google.com/open?id=1ZXpmc6jCjls7uJxw22J51NmSAnj7YVDu</t>
  </si>
  <si>
    <t>同意</t>
  </si>
  <si>
    <t>3、線上報告 (非花蓮地區選手)</t>
  </si>
  <si>
    <t>南臺學校財團法人南臺科技大學</t>
  </si>
  <si>
    <t>花卉庫存管理系統</t>
  </si>
  <si>
    <t>林武國</t>
  </si>
  <si>
    <t>馬從爾</t>
  </si>
  <si>
    <t>黃柏峻</t>
  </si>
  <si>
    <t>0911783330</t>
  </si>
  <si>
    <t>a2580@line.com</t>
  </si>
  <si>
    <t>https://drive.google.com/open?id=1EKRBDdhP3ulWV8P1FLByTf-m0USQyzTC</t>
  </si>
  <si>
    <t>慈濟大學</t>
  </si>
  <si>
    <t>資訊科技與管理學系</t>
  </si>
  <si>
    <t>melvian.yenara</t>
  </si>
  <si>
    <t>https://drive.google.com/open?id=15e2Ufv0HNlTJJ9ErNYF6r6Bx1nCK6PzB</t>
  </si>
  <si>
    <t>2、現場報告 (非花蓮地區選手)</t>
  </si>
  <si>
    <t>德明財經科技大學</t>
  </si>
  <si>
    <t>整合MVC架構與LINE BOT技術 建構跨平台之二手交易系統</t>
  </si>
  <si>
    <t xml:space="preserve">德明財經科技大學,陶淑瑗 </t>
  </si>
  <si>
    <t>德明財經科技大學,林均豐</t>
  </si>
  <si>
    <t>盧冠智,江翰婷,謝茂松</t>
  </si>
  <si>
    <t>0921288325</t>
  </si>
  <si>
    <t>lin940429ouo,豐豐</t>
  </si>
  <si>
    <t>https://drive.google.com/open?id=1ZucwQxWty9-IKF18I8OWCXnEySQVRla_</t>
  </si>
  <si>
    <t>資管系</t>
  </si>
  <si>
    <t>動物拼圖Animal Puzzle Game</t>
  </si>
  <si>
    <t>南臺科技大學，汪美香</t>
  </si>
  <si>
    <t>南臺科技大學，張閔凱</t>
  </si>
  <si>
    <t>蕭立明，陳冠宏，顏崇峻</t>
  </si>
  <si>
    <t>0909712273</t>
  </si>
  <si>
    <t>asd0933762860，ÓÂÒ</t>
  </si>
  <si>
    <t>https://drive.google.com/open?id=1wK_SC0d_GxbUo9SdgGvdkO6MCU0Zj0nB</t>
  </si>
  <si>
    <t>慈濟學校財團法人慈濟大學</t>
  </si>
  <si>
    <t>慈濟學校財團法人慈濟大學，許瑋麟</t>
  </si>
  <si>
    <t>children_0304，陳姿婷</t>
  </si>
  <si>
    <t>https://drive.google.com/open?id=1LLq0BauFGoZb3i_898uiFmHGGBDs2ruS</t>
  </si>
  <si>
    <t>1、花蓮地區選手-現場報告</t>
  </si>
  <si>
    <t>結合生成式AI與影音分析之健康互動學習系統</t>
  </si>
  <si>
    <t>謝依蓓</t>
  </si>
  <si>
    <t>i931204</t>
  </si>
  <si>
    <t>https://drive.google.com/open?id=1u9oZLfpibn8BH9irHQQm83KGIpffZEPl</t>
  </si>
  <si>
    <t>一定藥更好-基於人工智慧與物聯網之智慧藥倉</t>
  </si>
  <si>
    <t>國立雲林科技大學，潘得龍</t>
  </si>
  <si>
    <t>陳德恩</t>
  </si>
  <si>
    <t>陳冠欣、張荃宇</t>
  </si>
  <si>
    <t>0912731296</t>
  </si>
  <si>
    <t>andy731296，陳德恩</t>
  </si>
  <si>
    <t>https://drive.google.com/open?id=1cQrFWuyA8mzUzxKRhmWqzAef11w3O3Rv</t>
  </si>
  <si>
    <t>地下道水位AI偵測</t>
  </si>
  <si>
    <t>慈濟大學，許瑋麟</t>
  </si>
  <si>
    <t>少睿</t>
  </si>
  <si>
    <t>https://drive.google.com/open?id=1dh0ZFn2I_HcicekAP3dla9d9qcqlQMIu</t>
  </si>
  <si>
    <t>智慧社交桌寵系統</t>
  </si>
  <si>
    <t>杜信志</t>
  </si>
  <si>
    <t>Line ID：747w  暱稱：C4</t>
  </si>
  <si>
    <t>https://drive.google.com/open?id=1pUXEPLtnqqBgf64p04h7J8XklkeIPlj2</t>
  </si>
  <si>
    <t>AI膳罷甘休：智慧理想體態</t>
  </si>
  <si>
    <t>慈濟大學，吳志成老師</t>
  </si>
  <si>
    <t>羅彥均</t>
  </si>
  <si>
    <t>https://drive.google.com/open?id=1LCoWd2aEPxEeQG4L3I1wGmQeDhfFJxns</t>
  </si>
  <si>
    <t>AI訂餐通報系統</t>
  </si>
  <si>
    <t>李國彰</t>
  </si>
  <si>
    <t>090956821312/¥傅堯$</t>
  </si>
  <si>
    <t>https://drive.google.com/open?id=1g9o6TQgUrBNoJsv3U-zEh1-9qNYz9X9-</t>
  </si>
  <si>
    <t>陸軍軍官學校</t>
  </si>
  <si>
    <t>0937215657，柏元</t>
  </si>
  <si>
    <t>https://drive.google.com/open?id=1vgmNvHsadK0zbunofcXr2D8BjDaczRqK</t>
  </si>
  <si>
    <t>字與地下城</t>
  </si>
  <si>
    <t>簡子超</t>
  </si>
  <si>
    <t>kyou940101</t>
  </si>
  <si>
    <t>https://drive.google.com/open?id=11ci_4qzIxdOesCJv5pnuvDI2yixjGM1z</t>
  </si>
  <si>
    <t>智慧物聯實驗室-人員管制偵測系統</t>
  </si>
  <si>
    <t>慈濟大學，賴志明</t>
  </si>
  <si>
    <t>lemonlemon005,Lemon艾桐恩</t>
  </si>
  <si>
    <t>https://drive.google.com/open?id=1AERTj-jVJH3bVCgkI4EY4-yVXQobESOj</t>
  </si>
  <si>
    <t>國立東華大學</t>
  </si>
  <si>
    <t>國立東華大學，簡暐哲</t>
  </si>
  <si>
    <t>王振宇</t>
  </si>
  <si>
    <t>https://drive.google.com/open?id=1xZBEtEi1qoASOtj3ks_3F0OW9gz7meFo</t>
  </si>
  <si>
    <t>月語</t>
  </si>
  <si>
    <t>德明財經科技大學, 徐敏珠</t>
  </si>
  <si>
    <t>德明財經科技大學, 邱婉瑈</t>
  </si>
  <si>
    <t>林佳欣, 林宇蓉, 張理惇</t>
  </si>
  <si>
    <t>0905773630</t>
  </si>
  <si>
    <t>04220530, wen</t>
  </si>
  <si>
    <t>https://drive.google.com/open?id=13Na85OLih2Ri5SadM5eyuxrnF1LUDq7p</t>
  </si>
  <si>
    <t>資訊工程學系</t>
  </si>
  <si>
    <t>東華大學, 簡暐哲</t>
  </si>
  <si>
    <t>violettyliu930930, 劉紫瀅</t>
  </si>
  <si>
    <t>https://drive.google.com/open?id=17UAF0RNWa7c52f8hzCAKSeb2iUvwcBiY</t>
  </si>
  <si>
    <t>sunny9392088、pei</t>
  </si>
  <si>
    <t>https://drive.google.com/open?id=178TFpuXQRxeJjUwXa-ON60i1tsW8AoaO</t>
  </si>
  <si>
    <t>alfredachandra</t>
  </si>
  <si>
    <t>https://drive.google.com/open?id=1eP34jI5xEaE8RmnKOo7VJMLJZ3x02uYL</t>
  </si>
  <si>
    <t>德明財經科技大學，林泰穎</t>
  </si>
  <si>
    <t>liby0704，zhen.</t>
  </si>
  <si>
    <t>https://drive.google.com/open?id=1Cm478MFcpW7fdkMBfVoWMfRHzLp-A_gc</t>
  </si>
  <si>
    <t>亞東科技大學</t>
  </si>
  <si>
    <t>磚心聽-智慧共融導引系統</t>
  </si>
  <si>
    <t>亞東科技大學，閆嬰紅</t>
  </si>
  <si>
    <t>亞東科技大學，陳恒毅</t>
  </si>
  <si>
    <t>亞東科技大學，林詩庭</t>
  </si>
  <si>
    <t>0902358917</t>
  </si>
  <si>
    <t>920917abc，陳恒毅</t>
  </si>
  <si>
    <t>https://drive.google.com/open?id=1DUJERKQ-HcouODbQAwcnd5unXqROEWvT</t>
  </si>
  <si>
    <t>輔仁大學</t>
  </si>
  <si>
    <t>急中生智:急診檢傷與輔助決策系統(Emergency triage and decision support system)</t>
  </si>
  <si>
    <t>輔仁大學，呂奇傑</t>
  </si>
  <si>
    <t>輔仁大學，孫語謙</t>
  </si>
  <si>
    <t>周雨潔、朱庭徵、林姵晨、曲楷凌</t>
  </si>
  <si>
    <t>0966013515</t>
  </si>
  <si>
    <t>0966013515，語謙</t>
  </si>
  <si>
    <t>https://drive.google.com/open?id=1L-vtHoKN3FUumV5GYHHN3z1oHP2X3wSc</t>
  </si>
  <si>
    <t>diamondman2546</t>
  </si>
  <si>
    <t>https://drive.google.com/open?id=1fPh1sK5ifcjxvchhcU7usWKZD86pWG-j</t>
  </si>
  <si>
    <r>
      <rPr>
        <sz val="10"/>
        <color theme="1"/>
        <rFont val="Arial"/>
        <family val="3"/>
        <charset val="136"/>
        <scheme val="minor"/>
      </rPr>
      <t>線上報告</t>
    </r>
    <r>
      <rPr>
        <sz val="10"/>
        <color theme="1"/>
        <rFont val="Arial"/>
        <family val="2"/>
        <scheme val="minor"/>
      </rPr>
      <t xml:space="preserve"> </t>
    </r>
    <phoneticPr fontId="3" type="noConversion"/>
  </si>
  <si>
    <r>
      <t>2</t>
    </r>
    <r>
      <rPr>
        <sz val="10"/>
        <color theme="1"/>
        <rFont val="Arial"/>
        <family val="3"/>
        <charset val="136"/>
        <scheme val="minor"/>
      </rPr>
      <t>、現場報告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Arial"/>
        <family val="3"/>
        <charset val="136"/>
        <scheme val="minor"/>
      </rPr>
      <t>非花蓮地區選手</t>
    </r>
    <r>
      <rPr>
        <sz val="10"/>
        <color theme="1"/>
        <rFont val="Arial"/>
        <family val="2"/>
        <scheme val="minor"/>
      </rPr>
      <t>)</t>
    </r>
    <phoneticPr fontId="3" type="noConversion"/>
  </si>
  <si>
    <t>非花蓮地區選手</t>
    <phoneticPr fontId="3" type="noConversion"/>
  </si>
  <si>
    <t>專題題目</t>
  </si>
  <si>
    <t>場次一</t>
  </si>
  <si>
    <t>場次三</t>
  </si>
  <si>
    <t>報告
(開始時間)</t>
    <phoneticPr fontId="7" type="noConversion"/>
  </si>
  <si>
    <t>場次二</t>
    <phoneticPr fontId="7" type="noConversion"/>
  </si>
  <si>
    <t>2026全國經營管理專題競賽-資訊組報告順序</t>
    <phoneticPr fontId="7" type="noConversion"/>
  </si>
  <si>
    <r>
      <rPr>
        <sz val="10"/>
        <color theme="1"/>
        <rFont val="Arial"/>
        <family val="3"/>
        <charset val="136"/>
        <scheme val="minor"/>
      </rPr>
      <t>智藥守護者：</t>
    </r>
    <r>
      <rPr>
        <sz val="10"/>
        <color theme="1"/>
        <rFont val="Arial"/>
        <family val="2"/>
        <scheme val="minor"/>
      </rPr>
      <t>AI</t>
    </r>
    <r>
      <rPr>
        <sz val="10"/>
        <color theme="1"/>
        <rFont val="Arial"/>
        <family val="3"/>
        <charset val="136"/>
        <scheme val="minor"/>
      </rPr>
      <t>用藥與情緒感知系統</t>
    </r>
    <phoneticPr fontId="3" type="noConversion"/>
  </si>
  <si>
    <t>慈濟大學，陳志遠</t>
    <phoneticPr fontId="3" type="noConversion"/>
  </si>
  <si>
    <t>慈濟大學，黃美媛</t>
    <phoneticPr fontId="3" type="noConversion"/>
  </si>
  <si>
    <t>0916022536</t>
    <phoneticPr fontId="3" type="noConversion"/>
  </si>
  <si>
    <t>資訊科技與管理學系</t>
    <phoneticPr fontId="3" type="noConversion"/>
  </si>
  <si>
    <t>徐正福，丘愛笑</t>
    <phoneticPr fontId="3" type="noConversion"/>
  </si>
  <si>
    <t>慈濟學校財團法人慈濟大學，陳姿婷</t>
    <phoneticPr fontId="3" type="noConversion"/>
  </si>
  <si>
    <t>周紘名，張洳瑋，林恩瑜</t>
    <phoneticPr fontId="3" type="noConversion"/>
  </si>
  <si>
    <t>0913609733</t>
    <phoneticPr fontId="3" type="noConversion"/>
  </si>
  <si>
    <r>
      <rPr>
        <sz val="10"/>
        <color theme="1"/>
        <rFont val="微軟正黑體"/>
        <family val="2"/>
        <charset val="136"/>
      </rPr>
      <t>路況異常</t>
    </r>
    <r>
      <rPr>
        <sz val="10"/>
        <color theme="1"/>
        <rFont val="Arial"/>
        <family val="2"/>
        <scheme val="minor"/>
      </rPr>
      <t>AI</t>
    </r>
    <r>
      <rPr>
        <sz val="10"/>
        <color theme="1"/>
        <rFont val="微軟正黑體"/>
        <family val="2"/>
        <charset val="136"/>
      </rPr>
      <t>偵測系統</t>
    </r>
    <phoneticPr fontId="3" type="noConversion"/>
  </si>
  <si>
    <t>路況異常AI偵測系統</t>
    <phoneticPr fontId="7" type="noConversion"/>
  </si>
  <si>
    <r>
      <rPr>
        <sz val="10"/>
        <color theme="1"/>
        <rFont val="微軟正黑體"/>
        <family val="2"/>
        <charset val="136"/>
      </rPr>
      <t>智慧物聯實驗室</t>
    </r>
    <r>
      <rPr>
        <sz val="10"/>
        <color theme="1"/>
        <rFont val="Arial"/>
        <family val="2"/>
        <scheme val="minor"/>
      </rPr>
      <t>-</t>
    </r>
    <r>
      <rPr>
        <sz val="10"/>
        <color theme="1"/>
        <rFont val="微軟正黑體"/>
        <family val="2"/>
        <charset val="136"/>
      </rPr>
      <t>人員管制偵測系統</t>
    </r>
    <phoneticPr fontId="3" type="noConversion"/>
  </si>
  <si>
    <t>慈濟大學，艾桐恩</t>
    <phoneticPr fontId="3" type="noConversion"/>
  </si>
  <si>
    <t>0981531384</t>
    <phoneticPr fontId="3" type="noConversion"/>
  </si>
  <si>
    <t>潘柏宇，梁家寶</t>
    <phoneticPr fontId="3" type="noConversion"/>
  </si>
  <si>
    <t>慈濟大學，姜宇昕</t>
    <phoneticPr fontId="3" type="noConversion"/>
  </si>
  <si>
    <t>林以諾，趙少謙</t>
    <phoneticPr fontId="3" type="noConversion"/>
  </si>
  <si>
    <t>0907321922</t>
    <phoneticPr fontId="3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</si>
  <si>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傅泓堯</t>
    </r>
    <phoneticPr fontId="3" type="noConversion"/>
  </si>
  <si>
    <t>0909568213</t>
    <phoneticPr fontId="3" type="noConversion"/>
  </si>
  <si>
    <r>
      <rPr>
        <sz val="10"/>
        <color theme="1"/>
        <rFont val="微軟正黑體"/>
        <family val="2"/>
        <charset val="136"/>
      </rPr>
      <t>蔡明亮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葉子儀</t>
    </r>
    <r>
      <rPr>
        <sz val="10"/>
        <color theme="1"/>
        <rFont val="Arial"/>
        <family val="2"/>
        <scheme val="minor"/>
      </rPr>
      <t>/</t>
    </r>
    <r>
      <rPr>
        <sz val="10"/>
        <color theme="1"/>
        <rFont val="微軟正黑體"/>
        <family val="2"/>
        <charset val="136"/>
      </rPr>
      <t>林岑華</t>
    </r>
    <phoneticPr fontId="3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</si>
  <si>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軟正黑體"/>
        <family val="2"/>
        <charset val="136"/>
      </rPr>
      <t>，羅彥均</t>
    </r>
    <phoneticPr fontId="3" type="noConversion"/>
  </si>
  <si>
    <t>羅品源，林晨睿</t>
    <phoneticPr fontId="3" type="noConversion"/>
  </si>
  <si>
    <t>0975890532</t>
    <phoneticPr fontId="3" type="noConversion"/>
  </si>
  <si>
    <t>李凡皓、李彥均</t>
    <phoneticPr fontId="3" type="noConversion"/>
  </si>
  <si>
    <t>黃識熹</t>
    <phoneticPr fontId="3" type="noConversion"/>
  </si>
  <si>
    <t>0970463598</t>
    <phoneticPr fontId="3" type="noConversion"/>
  </si>
  <si>
    <t>賴芳婕，林淑鳳</t>
    <phoneticPr fontId="3" type="noConversion"/>
  </si>
  <si>
    <t>0966581551</t>
    <phoneticPr fontId="3" type="noConversion"/>
  </si>
  <si>
    <t>慈濟大學，鄧少睿</t>
    <phoneticPr fontId="3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</si>
  <si>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軟正黑體"/>
        <family val="2"/>
        <charset val="136"/>
      </rPr>
      <t>康仲誼</t>
    </r>
    <phoneticPr fontId="3" type="noConversion"/>
  </si>
  <si>
    <r>
      <rPr>
        <sz val="10"/>
        <color theme="1"/>
        <rFont val="微軟正黑體"/>
        <family val="2"/>
        <charset val="136"/>
      </rPr>
      <t>陳浩祥</t>
    </r>
    <r>
      <rPr>
        <sz val="10"/>
        <color theme="1"/>
        <rFont val="Arial"/>
        <family val="2"/>
        <scheme val="minor"/>
      </rPr>
      <t>,</t>
    </r>
    <r>
      <rPr>
        <sz val="10"/>
        <color theme="1"/>
        <rFont val="微軟正黑體"/>
        <family val="2"/>
        <charset val="136"/>
      </rPr>
      <t>唐麒宸</t>
    </r>
    <phoneticPr fontId="3" type="noConversion"/>
  </si>
  <si>
    <t>0906981692</t>
    <phoneticPr fontId="3" type="noConversion"/>
  </si>
  <si>
    <r>
      <rPr>
        <sz val="10"/>
        <color theme="1"/>
        <rFont val="微軟正黑體"/>
        <family val="2"/>
        <charset val="136"/>
      </rPr>
      <t>基於大型語言模型與</t>
    </r>
    <r>
      <rPr>
        <sz val="10"/>
        <color theme="1"/>
        <rFont val="Arial"/>
        <family val="2"/>
        <scheme val="minor"/>
      </rPr>
      <t>RAG</t>
    </r>
    <r>
      <rPr>
        <sz val="10"/>
        <color theme="1"/>
        <rFont val="微軟正黑體"/>
        <family val="2"/>
        <charset val="136"/>
      </rPr>
      <t>檢索增強生成架構之智慧師生互動平台設計</t>
    </r>
    <phoneticPr fontId="3" type="noConversion"/>
  </si>
  <si>
    <t>基於大型語言模型與RAG檢索增強生成架構之智慧師生互動平台設計</t>
    <phoneticPr fontId="7" type="noConversion"/>
  </si>
  <si>
    <t>慈濟大學，簡子超</t>
    <phoneticPr fontId="3" type="noConversion"/>
  </si>
  <si>
    <t>慈濟大學，張梅墡</t>
    <phoneticPr fontId="3" type="noConversion"/>
  </si>
  <si>
    <t>李金惠，林明婷，王曉蓓</t>
    <phoneticPr fontId="3" type="noConversion"/>
  </si>
  <si>
    <t>0926150256</t>
    <phoneticPr fontId="3" type="noConversion"/>
  </si>
  <si>
    <t>國立東華大學</t>
    <phoneticPr fontId="3" type="noConversion"/>
  </si>
  <si>
    <t>資工系</t>
    <phoneticPr fontId="3" type="noConversion"/>
  </si>
  <si>
    <t>資訊工程學系</t>
    <phoneticPr fontId="3" type="noConversion"/>
  </si>
  <si>
    <r>
      <rPr>
        <sz val="10"/>
        <color theme="1"/>
        <rFont val="微軟正黑體"/>
        <family val="2"/>
        <charset val="136"/>
      </rPr>
      <t>洄瀾衣鏡</t>
    </r>
    <r>
      <rPr>
        <sz val="10"/>
        <color theme="1"/>
        <rFont val="Arial"/>
        <family val="2"/>
        <scheme val="minor"/>
      </rPr>
      <t xml:space="preserve"> - AI </t>
    </r>
    <r>
      <rPr>
        <sz val="10"/>
        <color theme="1"/>
        <rFont val="微軟正黑體"/>
        <family val="2"/>
        <charset val="136"/>
      </rPr>
      <t>在地時尚導購平台</t>
    </r>
    <phoneticPr fontId="3" type="noConversion"/>
  </si>
  <si>
    <t>洄瀾衣鏡 - AI 在地時尚導購平台</t>
    <phoneticPr fontId="7" type="noConversion"/>
  </si>
  <si>
    <r>
      <rPr>
        <sz val="10"/>
        <color theme="1"/>
        <rFont val="微軟正黑體"/>
        <family val="2"/>
        <charset val="136"/>
      </rPr>
      <t>基於混合式架構與輕量化</t>
    </r>
    <r>
      <rPr>
        <sz val="10"/>
        <color theme="1"/>
        <rFont val="Arial"/>
        <family val="2"/>
        <scheme val="minor"/>
      </rPr>
      <t xml:space="preserve"> Transformer </t>
    </r>
    <r>
      <rPr>
        <sz val="10"/>
        <color theme="1"/>
        <rFont val="微軟正黑體"/>
        <family val="2"/>
        <charset val="136"/>
      </rPr>
      <t>之邊緣端即時寵物行為偵測系統</t>
    </r>
    <phoneticPr fontId="3" type="noConversion"/>
  </si>
  <si>
    <t>基於混合式架構與輕量化 Transformer 之邊緣端即時寵物行為偵測系統</t>
    <phoneticPr fontId="7" type="noConversion"/>
  </si>
  <si>
    <t>結合跨階段知識記憶鏈結與檢索增強生成的沉浸式面試訓練平台</t>
    <phoneticPr fontId="3" type="noConversion"/>
  </si>
  <si>
    <t>結合跨階段知識記憶鏈結與檢索增強生成的沉浸式面試訓練平台</t>
    <phoneticPr fontId="7" type="noConversion"/>
  </si>
  <si>
    <t>國立東華大學，簡暐哲</t>
    <phoneticPr fontId="3" type="noConversion"/>
  </si>
  <si>
    <t>國立東華大學，王振宇</t>
    <phoneticPr fontId="3" type="noConversion"/>
  </si>
  <si>
    <r>
      <rPr>
        <sz val="10"/>
        <color theme="1"/>
        <rFont val="微軟正黑體"/>
        <family val="2"/>
        <charset val="136"/>
      </rPr>
      <t>東華大學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劉紫瀅</t>
    </r>
    <phoneticPr fontId="3" type="noConversion"/>
  </si>
  <si>
    <t>國立東華大學，宋沛倢</t>
    <phoneticPr fontId="3" type="noConversion"/>
  </si>
  <si>
    <t>李重佑，蘇奇威，謝承翰</t>
    <phoneticPr fontId="3" type="noConversion"/>
  </si>
  <si>
    <t>0918699696</t>
    <phoneticPr fontId="3" type="noConversion"/>
  </si>
  <si>
    <t>0906807765</t>
    <phoneticPr fontId="3" type="noConversion"/>
  </si>
  <si>
    <r>
      <rPr>
        <sz val="10"/>
        <color theme="1"/>
        <rFont val="微軟正黑體"/>
        <family val="2"/>
        <charset val="136"/>
      </rPr>
      <t>周昕穎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陳玗昀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郭奕伶</t>
    </r>
    <phoneticPr fontId="3" type="noConversion"/>
  </si>
  <si>
    <t>0912565058</t>
    <phoneticPr fontId="3" type="noConversion"/>
  </si>
  <si>
    <t>趙子傑、劉正華、李翊綸</t>
    <phoneticPr fontId="3" type="noConversion"/>
  </si>
  <si>
    <r>
      <rPr>
        <sz val="10"/>
        <color theme="1"/>
        <rFont val="微軟正黑體"/>
        <family val="2"/>
        <charset val="136"/>
      </rPr>
      <t>校園</t>
    </r>
    <r>
      <rPr>
        <sz val="10"/>
        <color theme="1"/>
        <rFont val="Arial"/>
        <family val="2"/>
        <scheme val="minor"/>
      </rPr>
      <t>AI</t>
    </r>
    <r>
      <rPr>
        <sz val="10"/>
        <color theme="1"/>
        <rFont val="微軟正黑體"/>
        <family val="2"/>
        <charset val="136"/>
      </rPr>
      <t>資訊助理平台以檢索增強生成</t>
    </r>
    <r>
      <rPr>
        <sz val="10"/>
        <color theme="1"/>
        <rFont val="Arial"/>
        <family val="2"/>
        <scheme val="minor"/>
      </rPr>
      <t>(RAG)</t>
    </r>
    <r>
      <rPr>
        <sz val="10"/>
        <color theme="1"/>
        <rFont val="微軟正黑體"/>
        <family val="2"/>
        <charset val="136"/>
      </rPr>
      <t>與多代理協作為核心之校園知識問答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微軟正黑體"/>
        <family val="2"/>
        <charset val="136"/>
      </rPr>
      <t>系統</t>
    </r>
    <r>
      <rPr>
        <sz val="10"/>
        <color theme="1"/>
        <rFont val="Arial"/>
        <family val="2"/>
        <scheme val="minor"/>
      </rPr>
      <t xml:space="preserve"> </t>
    </r>
    <phoneticPr fontId="3" type="noConversion"/>
  </si>
  <si>
    <t xml:space="preserve">校園AI資訊助理平台以檢索增強生成(RAG)與多代理協作為核心之校園知識問答 系統 </t>
    <phoneticPr fontId="7" type="noConversion"/>
  </si>
  <si>
    <r>
      <rPr>
        <sz val="10"/>
        <color theme="1"/>
        <rFont val="微軟正黑體"/>
        <family val="2"/>
        <charset val="136"/>
      </rPr>
      <t>慈濟大學</t>
    </r>
    <r>
      <rPr>
        <sz val="10"/>
        <color theme="1"/>
        <rFont val="Arial"/>
        <family val="2"/>
        <scheme val="minor"/>
      </rPr>
      <t xml:space="preserve">, </t>
    </r>
    <r>
      <rPr>
        <sz val="10"/>
        <color theme="1"/>
        <rFont val="微軟正黑體"/>
        <family val="2"/>
        <charset val="136"/>
      </rPr>
      <t>周德耐</t>
    </r>
    <phoneticPr fontId="3" type="noConversion"/>
  </si>
  <si>
    <t>0989752471</t>
    <phoneticPr fontId="3" type="noConversion"/>
  </si>
  <si>
    <r>
      <t>3</t>
    </r>
    <r>
      <rPr>
        <sz val="10"/>
        <color theme="1"/>
        <rFont val="微軟正黑體"/>
        <family val="2"/>
        <charset val="136"/>
      </rPr>
      <t>、線上報告</t>
    </r>
    <r>
      <rPr>
        <sz val="10"/>
        <color theme="1"/>
        <rFont val="Arial"/>
        <family val="2"/>
        <scheme val="minor"/>
      </rPr>
      <t xml:space="preserve"> (</t>
    </r>
    <r>
      <rPr>
        <sz val="10"/>
        <color theme="1"/>
        <rFont val="微軟正黑體"/>
        <family val="2"/>
        <charset val="136"/>
      </rPr>
      <t>非花蓮地區選手</t>
    </r>
    <r>
      <rPr>
        <sz val="10"/>
        <color theme="1"/>
        <rFont val="Arial"/>
        <family val="2"/>
        <scheme val="minor"/>
      </rPr>
      <t>)</t>
    </r>
    <phoneticPr fontId="3" type="noConversion"/>
  </si>
  <si>
    <t>資訊管理系</t>
    <phoneticPr fontId="3" type="noConversion"/>
  </si>
  <si>
    <t>南臺科技大學，童冠燁</t>
    <phoneticPr fontId="3" type="noConversion"/>
  </si>
  <si>
    <t>德明財經科技大學</t>
    <phoneticPr fontId="3" type="noConversion"/>
  </si>
  <si>
    <t>資訊科技系</t>
    <phoneticPr fontId="3" type="noConversion"/>
  </si>
  <si>
    <t>國立雲林科技大學</t>
    <phoneticPr fontId="3" type="noConversion"/>
  </si>
  <si>
    <t>工商業設計系</t>
    <phoneticPr fontId="3" type="noConversion"/>
  </si>
  <si>
    <t>資訊管理學系</t>
    <phoneticPr fontId="3" type="noConversion"/>
  </si>
  <si>
    <t>An Intuitionistic Fuzzy–Based Framework for Sustainable Development Selection under Incomplete Information</t>
    <phoneticPr fontId="3" type="noConversion"/>
  </si>
  <si>
    <t>An Intuitionistic Fuzzy–Based Framework for Sustainable Development Selection under Incomplete Information</t>
    <phoneticPr fontId="7" type="noConversion"/>
  </si>
  <si>
    <r>
      <t xml:space="preserve">ActiTrack </t>
    </r>
    <r>
      <rPr>
        <sz val="10"/>
        <color theme="1"/>
        <rFont val="微軟正黑體"/>
        <family val="2"/>
        <charset val="136"/>
      </rPr>
      <t>運動姿勢的辨識系統</t>
    </r>
    <phoneticPr fontId="3" type="noConversion"/>
  </si>
  <si>
    <t>ActiTrack 運動姿勢的辨識系統</t>
    <phoneticPr fontId="7" type="noConversion"/>
  </si>
  <si>
    <t>陸軍軍官學校，張桂琥</t>
    <phoneticPr fontId="3" type="noConversion"/>
  </si>
  <si>
    <t>管理科學系</t>
    <phoneticPr fontId="3" type="noConversion"/>
  </si>
  <si>
    <t>0937215657</t>
    <phoneticPr fontId="3" type="noConversion"/>
  </si>
  <si>
    <t>陸軍軍官學校，周柏元</t>
    <phoneticPr fontId="3" type="noConversion"/>
  </si>
  <si>
    <t>陸軍軍官學校，管理科學系,張桂琥-0937215657
周柏元</t>
    <phoneticPr fontId="7" type="noConversion"/>
  </si>
  <si>
    <t xml:space="preserve">慈濟大學，資訊科技與管理學系，周德耐-0989752471
</t>
    <phoneticPr fontId="7" type="noConversion"/>
  </si>
  <si>
    <t>國立東華大學，資訊工程學系，宋沛倢-0912565058
趙子傑、劉正華、李翊綸</t>
    <phoneticPr fontId="7" type="noConversion"/>
  </si>
  <si>
    <t>國立東華大學，資訊工程學系，劉紫瀅-0906807765
周昕穎, 陳玗昀, 郭奕伶</t>
    <phoneticPr fontId="7" type="noConversion"/>
  </si>
  <si>
    <t>國立東華大學，資訊工程學系，王振宇-0918699696
李重佑，蘇奇威，謝承翰</t>
    <phoneticPr fontId="7" type="noConversion"/>
  </si>
  <si>
    <t>慈濟大學，資訊科技與管理學系，張梅墡-0926150256，
李金惠，林明婷，王曉蓓</t>
    <phoneticPr fontId="7" type="noConversion"/>
  </si>
  <si>
    <t>慈濟大學，資訊科技與管理學系，艾桐恩-0981531384，
潘柏宇，梁家寶</t>
    <phoneticPr fontId="7" type="noConversion"/>
  </si>
  <si>
    <t>慈濟大學，資訊科技與管理學系，姜宇昕-0907321922，
林以諾，趙少謙</t>
    <phoneticPr fontId="7" type="noConversion"/>
  </si>
  <si>
    <t>慈濟大學，資訊科技與管理學系，傅泓堯-0909568213，
蔡明亮/葉子儀/林岑華</t>
    <phoneticPr fontId="7" type="noConversion"/>
  </si>
  <si>
    <t>慈濟大學，資訊科技與管理學系，羅彥均-0975890532，
羅品源，林晨睿</t>
    <phoneticPr fontId="7" type="noConversion"/>
  </si>
  <si>
    <t>慈濟大學，資訊科技與管理學系，黃識熹-0970463598，
李凡皓、李彥均</t>
    <phoneticPr fontId="7" type="noConversion"/>
  </si>
  <si>
    <t>慈濟大學，資訊科技與管理學系，鄧少睿-0966581551，
賴芳婕，林淑鳳</t>
    <phoneticPr fontId="7" type="noConversion"/>
  </si>
  <si>
    <t>慈濟大學，資訊科技與管理學系，康仲誼-0906981692，
陳浩祥,唐麒宸</t>
    <phoneticPr fontId="7" type="noConversion"/>
  </si>
  <si>
    <t>慈濟大學，資訊科技與管理學系，陳姿婷-0913609733，
周紘名，張洳瑋，林恩瑜</t>
    <phoneticPr fontId="7" type="noConversion"/>
  </si>
  <si>
    <t>慈濟大學，資訊科技與管理學系，黃美媛-0916022536，
徐正福，丘愛笑</t>
    <phoneticPr fontId="7" type="noConversion"/>
  </si>
  <si>
    <t>德明財經科技大學，吳采臻</t>
    <phoneticPr fontId="3" type="noConversion"/>
  </si>
  <si>
    <t>陸思彥，立石剛士，王敬儀，許維哲</t>
    <phoneticPr fontId="3" type="noConversion"/>
  </si>
  <si>
    <t>0902208183</t>
    <phoneticPr fontId="3" type="noConversion"/>
  </si>
  <si>
    <t>德明財經科技大學，資訊管理學系,吳采臻-0902208183
陸思彥，立石剛士，王敬儀，許維哲</t>
    <phoneticPr fontId="7" type="noConversion"/>
  </si>
  <si>
    <t>學校，系所，組長-連絡電話
組員</t>
    <phoneticPr fontId="7" type="noConversion"/>
  </si>
  <si>
    <t>1、線上報告
(花蓮地區選手)</t>
    <phoneticPr fontId="7" type="noConversion"/>
  </si>
  <si>
    <t>1、線上報告
(花蓮地區選手)</t>
    <phoneticPr fontId="7" type="noConversion"/>
  </si>
  <si>
    <t>1、線上報告
(花蓮地區選手)</t>
    <phoneticPr fontId="7" type="noConversion"/>
  </si>
  <si>
    <t>1、線上報告
(花蓮地區選手)</t>
    <phoneticPr fontId="7" type="noConversion"/>
  </si>
  <si>
    <t>1、線上報告 
(花蓮地區選手)</t>
    <phoneticPr fontId="7" type="noConversion"/>
  </si>
  <si>
    <t>2.線上報告
(非花蓮地區選手)</t>
    <phoneticPr fontId="7" type="noConversion"/>
  </si>
  <si>
    <t>智藥守護者：AI用藥與情緒感知系統</t>
    <phoneticPr fontId="7" type="noConversion"/>
  </si>
  <si>
    <t>南臺科技大學，資訊管理系,李佳頴-0905733956
鍾凱杰，吳明諭</t>
    <phoneticPr fontId="7" type="noConversion"/>
  </si>
  <si>
    <t>南臺科技大學, 資訊管理系,馬從爾-0911783330
黃柏峻</t>
    <phoneticPr fontId="7" type="noConversion"/>
  </si>
  <si>
    <t>德明財經科技大學, 資訊科技系,林均豐-0921288325
盧冠智,江翰婷,謝茂松</t>
    <phoneticPr fontId="7" type="noConversion"/>
  </si>
  <si>
    <t>南臺科技大學，資訊管理系, 張閔凱-0909712273
蕭立明，陳冠宏，顏崇峻</t>
    <phoneticPr fontId="7" type="noConversion"/>
  </si>
  <si>
    <t>國立雲林科技大學, 資訊管理系, 陳德恩-0912731296
陳冠欣、張荃宇</t>
    <phoneticPr fontId="7" type="noConversion"/>
  </si>
  <si>
    <t>德明財經科技大學, 資訊管理系,邱婉瑈-0905773630
林佳欣, 林宇蓉, 張理惇</t>
    <phoneticPr fontId="7" type="noConversion"/>
  </si>
  <si>
    <t>輔仁大學，工商業設計系, 孫語謙-0966013515
周雨潔、朱庭徵、林姵晨、曲楷凌</t>
    <phoneticPr fontId="7" type="noConversion"/>
  </si>
  <si>
    <t>亞東科技大學，工商業設計系, 陳恒毅-0902358917
林詩庭</t>
    <phoneticPr fontId="7" type="noConversion"/>
  </si>
  <si>
    <t>場次</t>
    <phoneticPr fontId="7" type="noConversion"/>
  </si>
  <si>
    <t>場次</t>
    <phoneticPr fontId="7" type="noConversion"/>
  </si>
  <si>
    <t>報告方式</t>
    <phoneticPr fontId="7" type="noConversion"/>
  </si>
  <si>
    <t>組
別</t>
    <phoneticPr fontId="7" type="noConversion"/>
  </si>
  <si>
    <t>組
別</t>
    <phoneticPr fontId="7" type="noConversion"/>
  </si>
  <si>
    <t>2.線上報告
(非花蓮地區選手)</t>
    <phoneticPr fontId="7" type="noConversion"/>
  </si>
  <si>
    <t>2.線上報告
(非花蓮地區選手)</t>
    <phoneticPr fontId="7" type="noConversion"/>
  </si>
  <si>
    <t>2.線上報告
(非花蓮地區選手)</t>
    <phoneticPr fontId="7" type="noConversion"/>
  </si>
  <si>
    <t>2.線上報告
(非花蓮地區選手)</t>
    <phoneticPr fontId="7" type="noConversion"/>
  </si>
  <si>
    <t>3.現場報告,
非花蓮地區選手</t>
    <phoneticPr fontId="7" type="noConversion"/>
  </si>
  <si>
    <t>3.現場報告,
非花蓮地區選手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</si>
</sst>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m/d/yyyy\ h:mm:ss"/>
  </numFmts>
  <fonts count="2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8"/>
      <color theme="1"/>
      <name val="標楷體"/>
      <family val="4"/>
      <charset val="136"/>
    </font>
    <font>
      <sz val="9"/>
      <name val="Arial"/>
      <family val="2"/>
      <charset val="136"/>
      <scheme val="minor"/>
    </font>
    <font>
      <sz val="12"/>
      <color theme="1"/>
      <name val="標楷體"/>
      <family val="4"/>
      <charset val="136"/>
    </font>
    <font>
      <b/>
      <sz val="14"/>
      <color rgb="FF1F1F1F"/>
      <name val="DFKai-SB"/>
      <family val="4"/>
      <charset val="136"/>
    </font>
    <font>
      <b/>
      <sz val="14"/>
      <color theme="1"/>
      <name val="DFKai-SB"/>
      <family val="4"/>
      <charset val="136"/>
    </font>
    <font>
      <sz val="14"/>
      <color theme="1"/>
      <name val="DFKai-SB"/>
      <family val="4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0"/>
      <color theme="1"/>
      <name val="DFKai-SB"/>
      <family val="4"/>
      <charset val="136"/>
    </font>
    <font>
      <sz val="10"/>
      <color rgb="FF000000"/>
      <name val="Arial"/>
      <family val="2"/>
      <scheme val="minor"/>
    </font>
    <font>
      <b/>
      <sz val="14"/>
      <color rgb="FF1F1F1F"/>
      <name val="標楷體"/>
      <family val="4"/>
      <charset val="136"/>
    </font>
    <font>
      <sz val="14"/>
      <color theme="1"/>
      <name val="標楷體"/>
      <family val="4"/>
      <charset val="136"/>
    </font>
    <font>
      <sz val="14"/>
      <color rgb="FF000000"/>
      <name val="標楷體"/>
      <family val="4"/>
      <charset val="136"/>
    </font>
    <font>
      <b/>
      <sz val="14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1" fillId="0" borderId="0" xfId="0" applyFont="1" applyAlignment="1"/>
    <xf numFmtId="176" fontId="1" fillId="0" borderId="0" xfId="0" applyNumberFormat="1" applyFont="1" applyAlignment="1"/>
    <xf numFmtId="0" fontId="1" fillId="0" borderId="0" xfId="0" applyFont="1" applyAlignment="1"/>
    <xf numFmtId="0" fontId="1" fillId="0" borderId="0" xfId="0" quotePrefix="1" applyFont="1" applyAlignment="1"/>
    <xf numFmtId="0" fontId="2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8" fillId="0" borderId="0" xfId="0" applyFont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8" fillId="0" borderId="0" xfId="0" applyFont="1" applyAlignment="1"/>
    <xf numFmtId="0" fontId="5" fillId="0" borderId="0" xfId="0" quotePrefix="1" applyFont="1" applyAlignment="1"/>
    <xf numFmtId="0" fontId="12" fillId="0" borderId="0" xfId="0" applyFont="1" applyAlignment="1"/>
    <xf numFmtId="176" fontId="1" fillId="3" borderId="0" xfId="0" applyNumberFormat="1" applyFont="1" applyFill="1" applyAlignment="1"/>
    <xf numFmtId="0" fontId="1" fillId="3" borderId="0" xfId="0" applyFont="1" applyFill="1" applyAlignment="1"/>
    <xf numFmtId="0" fontId="4" fillId="3" borderId="0" xfId="0" applyFont="1" applyFill="1" applyAlignment="1"/>
    <xf numFmtId="0" fontId="0" fillId="3" borderId="0" xfId="0" applyFont="1" applyFill="1" applyAlignment="1"/>
    <xf numFmtId="0" fontId="12" fillId="3" borderId="0" xfId="0" applyFont="1" applyFill="1" applyAlignment="1"/>
    <xf numFmtId="0" fontId="5" fillId="3" borderId="0" xfId="0" quotePrefix="1" applyFont="1" applyFill="1" applyAlignment="1"/>
    <xf numFmtId="0" fontId="2" fillId="3" borderId="0" xfId="0" applyFont="1" applyFill="1" applyAlignment="1"/>
    <xf numFmtId="0" fontId="5" fillId="3" borderId="0" xfId="0" applyFont="1" applyFill="1" applyAlignment="1"/>
    <xf numFmtId="0" fontId="13" fillId="3" borderId="0" xfId="0" applyFont="1" applyFill="1" applyAlignment="1"/>
    <xf numFmtId="0" fontId="13" fillId="0" borderId="0" xfId="0" applyFont="1" applyAlignment="1"/>
    <xf numFmtId="176" fontId="1" fillId="4" borderId="0" xfId="0" applyNumberFormat="1" applyFont="1" applyFill="1" applyAlignment="1"/>
    <xf numFmtId="0" fontId="1" fillId="4" borderId="0" xfId="0" applyFont="1" applyFill="1" applyAlignment="1"/>
    <xf numFmtId="0" fontId="0" fillId="4" borderId="0" xfId="0" applyFont="1" applyFill="1" applyAlignment="1"/>
    <xf numFmtId="0" fontId="2" fillId="4" borderId="0" xfId="0" applyFont="1" applyFill="1" applyAlignment="1"/>
    <xf numFmtId="0" fontId="13" fillId="4" borderId="0" xfId="0" applyFont="1" applyFill="1" applyAlignment="1"/>
    <xf numFmtId="0" fontId="12" fillId="4" borderId="0" xfId="0" applyFont="1" applyFill="1" applyAlignment="1"/>
    <xf numFmtId="0" fontId="5" fillId="4" borderId="0" xfId="0" quotePrefix="1" applyFont="1" applyFill="1" applyAlignment="1"/>
    <xf numFmtId="20" fontId="14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/>
    <xf numFmtId="0" fontId="16" fillId="2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vertical="center" wrapText="1"/>
    </xf>
    <xf numFmtId="0" fontId="17" fillId="0" borderId="0" xfId="0" applyFont="1" applyAlignment="1"/>
    <xf numFmtId="0" fontId="18" fillId="0" borderId="0" xfId="0" applyFont="1" applyAlignment="1"/>
    <xf numFmtId="0" fontId="19" fillId="2" borderId="4" xfId="0" applyFont="1" applyFill="1" applyBorder="1" applyAlignment="1">
      <alignment horizontal="center" vertical="center" wrapText="1"/>
    </xf>
    <xf numFmtId="20" fontId="17" fillId="0" borderId="4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20" fontId="14" fillId="4" borderId="4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1ci_4qzIxdOesCJv5pnuvDI2yixjGM1z" TargetMode="External"/><Relationship Id="rId13" Type="http://schemas.openxmlformats.org/officeDocument/2006/relationships/hyperlink" Target="https://drive.google.com/open?id=1eP34jI5xEaE8RmnKOo7VJMLJZ3x02uYL" TargetMode="External"/><Relationship Id="rId3" Type="http://schemas.openxmlformats.org/officeDocument/2006/relationships/hyperlink" Target="https://drive.google.com/open?id=1u9oZLfpibn8BH9irHQQm83KGIpffZEPl" TargetMode="External"/><Relationship Id="rId7" Type="http://schemas.openxmlformats.org/officeDocument/2006/relationships/hyperlink" Target="https://drive.google.com/open?id=1g9o6TQgUrBNoJsv3U-zEh1-9qNYz9X9-" TargetMode="External"/><Relationship Id="rId12" Type="http://schemas.openxmlformats.org/officeDocument/2006/relationships/hyperlink" Target="https://drive.google.com/open?id=178TFpuXQRxeJjUwXa-ON60i1tsW8AoaO" TargetMode="External"/><Relationship Id="rId2" Type="http://schemas.openxmlformats.org/officeDocument/2006/relationships/hyperlink" Target="https://drive.google.com/open?id=1LLq0BauFGoZb3i_898uiFmHGGBDs2ruS" TargetMode="External"/><Relationship Id="rId1" Type="http://schemas.openxmlformats.org/officeDocument/2006/relationships/hyperlink" Target="https://drive.google.com/open?id=15e2Ufv0HNlTJJ9ErNYF6r6Bx1nCK6PzB" TargetMode="External"/><Relationship Id="rId6" Type="http://schemas.openxmlformats.org/officeDocument/2006/relationships/hyperlink" Target="https://drive.google.com/open?id=1LCoWd2aEPxEeQG4L3I1wGmQeDhfFJxns" TargetMode="External"/><Relationship Id="rId11" Type="http://schemas.openxmlformats.org/officeDocument/2006/relationships/hyperlink" Target="https://drive.google.com/open?id=17UAF0RNWa7c52f8hzCAKSeb2iUvwcBiY" TargetMode="External"/><Relationship Id="rId5" Type="http://schemas.openxmlformats.org/officeDocument/2006/relationships/hyperlink" Target="https://drive.google.com/open?id=1pUXEPLtnqqBgf64p04h7J8XklkeIPlj2" TargetMode="External"/><Relationship Id="rId10" Type="http://schemas.openxmlformats.org/officeDocument/2006/relationships/hyperlink" Target="https://drive.google.com/open?id=1xZBEtEi1qoASOtj3ks_3F0OW9gz7meFo" TargetMode="External"/><Relationship Id="rId4" Type="http://schemas.openxmlformats.org/officeDocument/2006/relationships/hyperlink" Target="https://drive.google.com/open?id=1dh0ZFn2I_HcicekAP3dla9d9qcqlQMIu" TargetMode="External"/><Relationship Id="rId9" Type="http://schemas.openxmlformats.org/officeDocument/2006/relationships/hyperlink" Target="https://drive.google.com/open?id=1AERTj-jVJH3bVCgkI4EY4-yVXQobESOj" TargetMode="External"/><Relationship Id="rId14" Type="http://schemas.openxmlformats.org/officeDocument/2006/relationships/hyperlink" Target="https://drive.google.com/open?id=1fPh1sK5ifcjxvchhcU7usWKZD86pWG-j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L-vtHoKN3FUumV5GYHHN3z1oHP2X3wSc" TargetMode="External"/><Relationship Id="rId3" Type="http://schemas.openxmlformats.org/officeDocument/2006/relationships/hyperlink" Target="https://drive.google.com/open?id=1ZucwQxWty9-IKF18I8OWCXnEySQVRla_" TargetMode="External"/><Relationship Id="rId7" Type="http://schemas.openxmlformats.org/officeDocument/2006/relationships/hyperlink" Target="https://drive.google.com/open?id=1DUJERKQ-HcouODbQAwcnd5unXqROEWvT" TargetMode="External"/><Relationship Id="rId2" Type="http://schemas.openxmlformats.org/officeDocument/2006/relationships/hyperlink" Target="https://drive.google.com/open?id=1EKRBDdhP3ulWV8P1FLByTf-m0USQyzTC" TargetMode="External"/><Relationship Id="rId1" Type="http://schemas.openxmlformats.org/officeDocument/2006/relationships/hyperlink" Target="https://drive.google.com/open?id=1ZXpmc6jCjls7uJxw22J51NmSAnj7YVDu" TargetMode="External"/><Relationship Id="rId6" Type="http://schemas.openxmlformats.org/officeDocument/2006/relationships/hyperlink" Target="https://drive.google.com/open?id=13Na85OLih2Ri5SadM5eyuxrnF1LUDq7p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https://drive.google.com/open?id=1cQrFWuyA8mzUzxKRhmWqzAef11w3O3Rv" TargetMode="External"/><Relationship Id="rId10" Type="http://schemas.openxmlformats.org/officeDocument/2006/relationships/hyperlink" Target="https://drive.google.com/open?id=1Cm478MFcpW7fdkMBfVoWMfRHzLp-A_gc" TargetMode="External"/><Relationship Id="rId4" Type="http://schemas.openxmlformats.org/officeDocument/2006/relationships/hyperlink" Target="https://drive.google.com/open?id=1wK_SC0d_GxbUo9SdgGvdkO6MCU0Zj0nB" TargetMode="External"/><Relationship Id="rId9" Type="http://schemas.openxmlformats.org/officeDocument/2006/relationships/hyperlink" Target="https://drive.google.com/open?id=1vgmNvHsadK0zbunofcXr2D8BjDaczRq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tabSelected="1" topLeftCell="A22" workbookViewId="0">
      <selection activeCell="D33" sqref="D33"/>
    </sheetView>
  </sheetViews>
  <sheetFormatPr defaultRowHeight="19.8"/>
  <cols>
    <col min="1" max="1" width="8" customWidth="1"/>
    <col min="2" max="2" width="5.44140625" customWidth="1"/>
    <col min="3" max="3" width="47.77734375" style="38" customWidth="1"/>
    <col min="4" max="4" width="17" customWidth="1"/>
    <col min="5" max="5" width="78.77734375" style="38" customWidth="1"/>
    <col min="6" max="6" width="16.88671875" style="34" customWidth="1"/>
    <col min="7" max="7" width="39.77734375" customWidth="1"/>
  </cols>
  <sheetData>
    <row r="1" spans="1:7" ht="24.6">
      <c r="A1" s="43" t="s">
        <v>144</v>
      </c>
      <c r="B1" s="44"/>
      <c r="C1" s="44"/>
      <c r="D1" s="44"/>
      <c r="E1" s="44"/>
      <c r="F1" s="45"/>
      <c r="G1" s="8"/>
    </row>
    <row r="2" spans="1:7" ht="39.6">
      <c r="A2" s="9" t="s">
        <v>259</v>
      </c>
      <c r="B2" s="9" t="s">
        <v>261</v>
      </c>
      <c r="C2" s="35" t="s">
        <v>139</v>
      </c>
      <c r="D2" s="10" t="s">
        <v>142</v>
      </c>
      <c r="E2" s="39" t="s">
        <v>242</v>
      </c>
      <c r="F2" s="39" t="s">
        <v>12</v>
      </c>
      <c r="G2" s="8"/>
    </row>
    <row r="3" spans="1:7" ht="39.6">
      <c r="A3" s="46" t="s">
        <v>140</v>
      </c>
      <c r="B3" s="11">
        <v>1</v>
      </c>
      <c r="C3" s="36" t="s">
        <v>249</v>
      </c>
      <c r="D3" s="12">
        <v>0.41666666666666669</v>
      </c>
      <c r="E3" s="40" t="s">
        <v>237</v>
      </c>
      <c r="F3" s="33" t="s">
        <v>243</v>
      </c>
      <c r="G3" s="13"/>
    </row>
    <row r="4" spans="1:7" ht="39.6">
      <c r="A4" s="47"/>
      <c r="B4" s="11">
        <v>2</v>
      </c>
      <c r="C4" s="36" t="s">
        <v>155</v>
      </c>
      <c r="D4" s="12">
        <f>D3 + TIME(0,13,0)</f>
        <v>0.42569444444444449</v>
      </c>
      <c r="E4" s="40" t="s">
        <v>236</v>
      </c>
      <c r="F4" s="33" t="s">
        <v>244</v>
      </c>
      <c r="G4" s="8"/>
    </row>
    <row r="5" spans="1:7" ht="39.6">
      <c r="A5" s="47"/>
      <c r="B5" s="11">
        <v>3</v>
      </c>
      <c r="C5" s="37" t="s">
        <v>58</v>
      </c>
      <c r="D5" s="12">
        <f>D4 + TIME(0,13,0)</f>
        <v>0.43472222222222229</v>
      </c>
      <c r="E5" s="40" t="s">
        <v>235</v>
      </c>
      <c r="F5" s="33" t="s">
        <v>245</v>
      </c>
      <c r="G5" s="13"/>
    </row>
    <row r="6" spans="1:7" ht="39.6">
      <c r="A6" s="47"/>
      <c r="B6" s="11">
        <v>4</v>
      </c>
      <c r="C6" s="37" t="s">
        <v>69</v>
      </c>
      <c r="D6" s="12">
        <f t="shared" ref="D6:D8" si="0">D5 + TIME(0,13,0)</f>
        <v>0.44375000000000009</v>
      </c>
      <c r="E6" s="40" t="s">
        <v>234</v>
      </c>
      <c r="F6" s="33" t="s">
        <v>243</v>
      </c>
      <c r="G6" s="8"/>
    </row>
    <row r="7" spans="1:7" ht="39.6">
      <c r="A7" s="47"/>
      <c r="B7" s="11">
        <v>5</v>
      </c>
      <c r="C7" s="37" t="s">
        <v>73</v>
      </c>
      <c r="D7" s="12">
        <f t="shared" si="0"/>
        <v>0.45277777777777789</v>
      </c>
      <c r="E7" s="40" t="s">
        <v>233</v>
      </c>
      <c r="F7" s="33" t="s">
        <v>244</v>
      </c>
      <c r="G7" s="13"/>
    </row>
    <row r="8" spans="1:7" ht="39.6">
      <c r="A8" s="48"/>
      <c r="B8" s="11">
        <v>6</v>
      </c>
      <c r="C8" s="37" t="s">
        <v>77</v>
      </c>
      <c r="D8" s="12">
        <f t="shared" si="0"/>
        <v>0.46180555555555569</v>
      </c>
      <c r="E8" s="40" t="s">
        <v>232</v>
      </c>
      <c r="F8" s="33" t="s">
        <v>246</v>
      </c>
      <c r="G8" s="8"/>
    </row>
    <row r="9" spans="1:7" ht="39.6">
      <c r="A9" s="9" t="s">
        <v>258</v>
      </c>
      <c r="B9" s="9" t="s">
        <v>261</v>
      </c>
      <c r="C9" s="35" t="s">
        <v>139</v>
      </c>
      <c r="D9" s="10" t="s">
        <v>142</v>
      </c>
      <c r="E9" s="39" t="s">
        <v>242</v>
      </c>
      <c r="F9" s="39" t="s">
        <v>260</v>
      </c>
      <c r="G9" s="8"/>
    </row>
    <row r="10" spans="1:7" ht="39.6">
      <c r="A10" s="46" t="s">
        <v>143</v>
      </c>
      <c r="B10" s="11">
        <v>7</v>
      </c>
      <c r="C10" s="37" t="s">
        <v>81</v>
      </c>
      <c r="D10" s="12">
        <v>0.46875</v>
      </c>
      <c r="E10" s="40" t="s">
        <v>231</v>
      </c>
      <c r="F10" s="33" t="s">
        <v>245</v>
      </c>
      <c r="G10" s="8"/>
    </row>
    <row r="11" spans="1:7" ht="39.6">
      <c r="A11" s="47"/>
      <c r="B11" s="11">
        <v>8</v>
      </c>
      <c r="C11" s="37" t="s">
        <v>88</v>
      </c>
      <c r="D11" s="12">
        <f>D10 + TIME(0,13,0)</f>
        <v>0.4777777777777778</v>
      </c>
      <c r="E11" s="40" t="s">
        <v>230</v>
      </c>
      <c r="F11" s="33" t="s">
        <v>244</v>
      </c>
      <c r="G11" s="8"/>
    </row>
    <row r="12" spans="1:7" ht="39.6">
      <c r="A12" s="47"/>
      <c r="B12" s="11">
        <v>9</v>
      </c>
      <c r="C12" s="37" t="s">
        <v>92</v>
      </c>
      <c r="D12" s="12">
        <f t="shared" ref="D12:D15" si="1">D11 + TIME(0,13,0)</f>
        <v>0.4868055555555556</v>
      </c>
      <c r="E12" s="40" t="s">
        <v>229</v>
      </c>
      <c r="F12" s="33" t="s">
        <v>244</v>
      </c>
      <c r="G12" s="8"/>
    </row>
    <row r="13" spans="1:7" ht="39.6">
      <c r="A13" s="47"/>
      <c r="B13" s="11">
        <v>10</v>
      </c>
      <c r="C13" s="36" t="s">
        <v>179</v>
      </c>
      <c r="D13" s="12">
        <f t="shared" si="1"/>
        <v>0.4958333333333334</v>
      </c>
      <c r="E13" s="40" t="s">
        <v>228</v>
      </c>
      <c r="F13" s="33" t="s">
        <v>244</v>
      </c>
      <c r="G13" s="8"/>
    </row>
    <row r="14" spans="1:7" ht="39.6">
      <c r="A14" s="47"/>
      <c r="B14" s="11">
        <v>11</v>
      </c>
      <c r="C14" s="36" t="s">
        <v>188</v>
      </c>
      <c r="D14" s="12">
        <f t="shared" si="1"/>
        <v>0.5048611111111112</v>
      </c>
      <c r="E14" s="40" t="s">
        <v>227</v>
      </c>
      <c r="F14" s="33" t="s">
        <v>244</v>
      </c>
      <c r="G14" s="8"/>
    </row>
    <row r="15" spans="1:7" ht="39.6">
      <c r="A15" s="48"/>
      <c r="B15" s="11">
        <v>12</v>
      </c>
      <c r="C15" s="36" t="s">
        <v>190</v>
      </c>
      <c r="D15" s="12">
        <f t="shared" si="1"/>
        <v>0.51388888888888895</v>
      </c>
      <c r="E15" s="40" t="s">
        <v>226</v>
      </c>
      <c r="F15" s="33" t="s">
        <v>244</v>
      </c>
      <c r="G15" s="8"/>
    </row>
    <row r="16" spans="1:7" ht="39.6">
      <c r="A16" s="9" t="s">
        <v>258</v>
      </c>
      <c r="B16" s="9" t="s">
        <v>261</v>
      </c>
      <c r="C16" s="35" t="s">
        <v>139</v>
      </c>
      <c r="D16" s="10" t="s">
        <v>142</v>
      </c>
      <c r="E16" s="39" t="s">
        <v>242</v>
      </c>
      <c r="F16" s="39" t="s">
        <v>260</v>
      </c>
      <c r="G16" s="8"/>
    </row>
    <row r="17" spans="1:7" ht="39.6">
      <c r="A17" s="46" t="s">
        <v>141</v>
      </c>
      <c r="B17" s="11">
        <v>13</v>
      </c>
      <c r="C17" s="36" t="s">
        <v>192</v>
      </c>
      <c r="D17" s="12">
        <v>0.5625</v>
      </c>
      <c r="E17" s="40" t="s">
        <v>225</v>
      </c>
      <c r="F17" s="33" t="s">
        <v>247</v>
      </c>
      <c r="G17" s="8"/>
    </row>
    <row r="18" spans="1:7" ht="59.4">
      <c r="A18" s="47"/>
      <c r="B18" s="11">
        <v>14</v>
      </c>
      <c r="C18" s="36" t="s">
        <v>204</v>
      </c>
      <c r="D18" s="12">
        <f>D17 + TIME(0,13,0)</f>
        <v>0.57152777777777775</v>
      </c>
      <c r="E18" s="40" t="s">
        <v>224</v>
      </c>
      <c r="F18" s="33" t="s">
        <v>245</v>
      </c>
      <c r="G18" s="8"/>
    </row>
    <row r="19" spans="1:7" ht="39.6">
      <c r="A19" s="47"/>
      <c r="B19" s="11">
        <v>15</v>
      </c>
      <c r="C19" s="37" t="s">
        <v>15</v>
      </c>
      <c r="D19" s="12">
        <f t="shared" ref="D19:D22" si="2">D18 + TIME(0,13,0)</f>
        <v>0.58055555555555549</v>
      </c>
      <c r="E19" s="41" t="s">
        <v>250</v>
      </c>
      <c r="F19" s="42" t="s">
        <v>248</v>
      </c>
      <c r="G19" s="8"/>
    </row>
    <row r="20" spans="1:7" ht="39.6">
      <c r="A20" s="47"/>
      <c r="B20" s="11">
        <v>16</v>
      </c>
      <c r="C20" s="37" t="s">
        <v>25</v>
      </c>
      <c r="D20" s="12">
        <f t="shared" si="2"/>
        <v>0.58958333333333324</v>
      </c>
      <c r="E20" s="41" t="s">
        <v>251</v>
      </c>
      <c r="F20" s="42" t="s">
        <v>263</v>
      </c>
      <c r="G20" s="8"/>
    </row>
    <row r="21" spans="1:7" ht="39.6">
      <c r="A21" s="47"/>
      <c r="B21" s="11">
        <v>17</v>
      </c>
      <c r="C21" s="37" t="s">
        <v>38</v>
      </c>
      <c r="D21" s="12">
        <f t="shared" si="2"/>
        <v>0.59861111111111098</v>
      </c>
      <c r="E21" s="41" t="s">
        <v>252</v>
      </c>
      <c r="F21" s="42" t="s">
        <v>263</v>
      </c>
      <c r="G21" s="8"/>
    </row>
    <row r="22" spans="1:7" ht="39.6">
      <c r="A22" s="47"/>
      <c r="B22" s="11">
        <v>18</v>
      </c>
      <c r="C22" s="37" t="s">
        <v>46</v>
      </c>
      <c r="D22" s="12">
        <f t="shared" si="2"/>
        <v>0.60763888888888873</v>
      </c>
      <c r="E22" s="41" t="s">
        <v>253</v>
      </c>
      <c r="F22" s="42" t="s">
        <v>263</v>
      </c>
      <c r="G22" s="8"/>
    </row>
    <row r="23" spans="1:7" ht="39.6">
      <c r="A23" s="9" t="s">
        <v>258</v>
      </c>
      <c r="B23" s="9" t="s">
        <v>262</v>
      </c>
      <c r="C23" s="35" t="s">
        <v>139</v>
      </c>
      <c r="D23" s="10" t="s">
        <v>142</v>
      </c>
      <c r="E23" s="39" t="s">
        <v>242</v>
      </c>
      <c r="F23" s="39" t="s">
        <v>260</v>
      </c>
      <c r="G23" s="8"/>
    </row>
    <row r="24" spans="1:7" ht="39.6">
      <c r="A24" s="46" t="s">
        <v>141</v>
      </c>
      <c r="B24" s="11">
        <v>19</v>
      </c>
      <c r="C24" s="37" t="s">
        <v>62</v>
      </c>
      <c r="D24" s="12">
        <v>0.61458333333333337</v>
      </c>
      <c r="E24" s="41" t="s">
        <v>254</v>
      </c>
      <c r="F24" s="42" t="s">
        <v>264</v>
      </c>
      <c r="G24" s="8"/>
    </row>
    <row r="25" spans="1:7" ht="39.6">
      <c r="A25" s="49"/>
      <c r="B25" s="11">
        <v>20</v>
      </c>
      <c r="C25" s="37" t="s">
        <v>100</v>
      </c>
      <c r="D25" s="12">
        <f>D24 + TIME(0,13,0)</f>
        <v>0.62361111111111112</v>
      </c>
      <c r="E25" s="41" t="s">
        <v>255</v>
      </c>
      <c r="F25" s="42" t="s">
        <v>263</v>
      </c>
      <c r="G25" s="8"/>
    </row>
    <row r="26" spans="1:7" ht="39.6">
      <c r="A26" s="47"/>
      <c r="B26" s="11">
        <v>21</v>
      </c>
      <c r="C26" s="37" t="s">
        <v>119</v>
      </c>
      <c r="D26" s="12">
        <f t="shared" ref="D26:D28" si="3">D25 + TIME(0,13,0)</f>
        <v>0.63263888888888886</v>
      </c>
      <c r="E26" s="41" t="s">
        <v>257</v>
      </c>
      <c r="F26" s="42" t="s">
        <v>266</v>
      </c>
      <c r="G26" s="8"/>
    </row>
    <row r="27" spans="1:7" ht="39.6">
      <c r="A27" s="47"/>
      <c r="B27" s="11">
        <v>22</v>
      </c>
      <c r="C27" s="37" t="s">
        <v>127</v>
      </c>
      <c r="D27" s="12">
        <f t="shared" si="3"/>
        <v>0.64166666666666661</v>
      </c>
      <c r="E27" s="41" t="s">
        <v>256</v>
      </c>
      <c r="F27" s="42" t="s">
        <v>265</v>
      </c>
      <c r="G27" s="8"/>
    </row>
    <row r="28" spans="1:7" ht="79.2">
      <c r="A28" s="47"/>
      <c r="B28" s="11">
        <v>23</v>
      </c>
      <c r="C28" s="36" t="s">
        <v>216</v>
      </c>
      <c r="D28" s="12">
        <f t="shared" si="3"/>
        <v>0.65069444444444435</v>
      </c>
      <c r="E28" s="40" t="s">
        <v>223</v>
      </c>
      <c r="F28" s="33" t="s">
        <v>267</v>
      </c>
      <c r="G28" s="8"/>
    </row>
    <row r="29" spans="1:7" ht="39.6">
      <c r="A29" s="47"/>
      <c r="B29" s="11">
        <v>24</v>
      </c>
      <c r="C29" s="36" t="s">
        <v>218</v>
      </c>
      <c r="D29" s="12">
        <f>D28 + TIME(0,13,0)</f>
        <v>0.6597222222222221</v>
      </c>
      <c r="E29" s="40" t="s">
        <v>241</v>
      </c>
      <c r="F29" s="33" t="s">
        <v>268</v>
      </c>
      <c r="G29" s="8"/>
    </row>
    <row r="31" spans="1:7">
      <c r="E31" s="37"/>
      <c r="F31" s="14"/>
    </row>
    <row r="32" spans="1:7">
      <c r="E32" s="37"/>
      <c r="F32" s="14"/>
    </row>
    <row r="33" spans="5:6">
      <c r="E33" s="37"/>
      <c r="F33" s="14"/>
    </row>
    <row r="34" spans="5:6">
      <c r="E34" s="37"/>
      <c r="F34" s="14"/>
    </row>
  </sheetData>
  <mergeCells count="5">
    <mergeCell ref="A1:F1"/>
    <mergeCell ref="A3:A8"/>
    <mergeCell ref="A10:A15"/>
    <mergeCell ref="A17:A22"/>
    <mergeCell ref="A24:A29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5"/>
  <sheetViews>
    <sheetView topLeftCell="E1" workbookViewId="0">
      <pane ySplit="1" topLeftCell="A2" activePane="bottomLeft" state="frozen"/>
      <selection pane="bottomLeft" activeCell="I25" sqref="I25"/>
    </sheetView>
  </sheetViews>
  <sheetFormatPr defaultColWidth="12.6640625" defaultRowHeight="15.75" customHeight="1"/>
  <cols>
    <col min="1" max="1" width="18.88671875" customWidth="1"/>
    <col min="2" max="2" width="31.21875" customWidth="1"/>
    <col min="3" max="3" width="18.88671875" customWidth="1"/>
    <col min="4" max="4" width="37.21875" customWidth="1"/>
    <col min="5" max="5" width="30.21875" customWidth="1"/>
    <col min="6" max="6" width="20.109375" customWidth="1"/>
    <col min="7" max="7" width="30.77734375" customWidth="1"/>
    <col min="8" max="8" width="33.33203125" customWidth="1"/>
    <col min="9" max="9" width="32.88671875" customWidth="1"/>
    <col min="10" max="10" width="26" customWidth="1"/>
    <col min="11" max="12" width="37.6640625" customWidth="1"/>
    <col min="13" max="19" width="18.88671875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4" spans="1:13" s="19" customFormat="1" ht="15.75" customHeight="1">
      <c r="A4" s="16">
        <v>46153.900822546297</v>
      </c>
      <c r="B4" s="17" t="s">
        <v>32</v>
      </c>
      <c r="C4" s="18" t="s">
        <v>149</v>
      </c>
      <c r="D4" s="18" t="s">
        <v>145</v>
      </c>
      <c r="E4" s="18" t="s">
        <v>146</v>
      </c>
      <c r="G4" s="18" t="s">
        <v>147</v>
      </c>
      <c r="H4" s="20" t="s">
        <v>150</v>
      </c>
      <c r="I4" s="21" t="s">
        <v>148</v>
      </c>
      <c r="J4" s="17" t="s">
        <v>34</v>
      </c>
      <c r="K4" s="22" t="s">
        <v>35</v>
      </c>
      <c r="L4" s="17" t="s">
        <v>22</v>
      </c>
      <c r="M4" s="23" t="s">
        <v>137</v>
      </c>
    </row>
    <row r="7" spans="1:13" s="19" customFormat="1" ht="15.75" customHeight="1">
      <c r="A7" s="16">
        <v>46161.644685787032</v>
      </c>
      <c r="B7" s="17" t="s">
        <v>53</v>
      </c>
      <c r="C7" s="17" t="s">
        <v>33</v>
      </c>
      <c r="D7" s="24" t="s">
        <v>154</v>
      </c>
      <c r="E7" s="17" t="s">
        <v>54</v>
      </c>
      <c r="G7" s="20" t="s">
        <v>151</v>
      </c>
      <c r="H7" s="20" t="s">
        <v>152</v>
      </c>
      <c r="I7" s="21" t="s">
        <v>153</v>
      </c>
      <c r="J7" s="17" t="s">
        <v>55</v>
      </c>
      <c r="K7" s="22" t="s">
        <v>56</v>
      </c>
      <c r="L7" s="17" t="s">
        <v>22</v>
      </c>
      <c r="M7" s="17" t="s">
        <v>57</v>
      </c>
    </row>
    <row r="8" spans="1:13" ht="15.75" customHeight="1">
      <c r="A8" s="2">
        <v>46162.616733807867</v>
      </c>
      <c r="B8" s="3" t="s">
        <v>32</v>
      </c>
      <c r="C8" s="3" t="s">
        <v>33</v>
      </c>
      <c r="D8" s="3" t="s">
        <v>58</v>
      </c>
      <c r="E8" s="3" t="s">
        <v>59</v>
      </c>
      <c r="F8" s="3" t="s">
        <v>16</v>
      </c>
      <c r="G8" s="25" t="s">
        <v>175</v>
      </c>
      <c r="H8" s="25" t="s">
        <v>176</v>
      </c>
      <c r="I8" s="14" t="s">
        <v>177</v>
      </c>
      <c r="J8" s="3" t="s">
        <v>60</v>
      </c>
      <c r="K8" s="5" t="s">
        <v>61</v>
      </c>
      <c r="L8" s="3" t="s">
        <v>22</v>
      </c>
      <c r="M8" s="3" t="s">
        <v>57</v>
      </c>
    </row>
    <row r="10" spans="1:13" ht="15.75" customHeight="1">
      <c r="A10" s="2">
        <v>46163.43274394676</v>
      </c>
      <c r="B10" s="3" t="s">
        <v>32</v>
      </c>
      <c r="C10" s="3" t="s">
        <v>33</v>
      </c>
      <c r="D10" s="3" t="s">
        <v>69</v>
      </c>
      <c r="E10" s="3" t="s">
        <v>70</v>
      </c>
      <c r="G10" s="15" t="s">
        <v>174</v>
      </c>
      <c r="H10" s="15" t="s">
        <v>172</v>
      </c>
      <c r="I10" s="14" t="s">
        <v>173</v>
      </c>
      <c r="J10" s="3" t="s">
        <v>71</v>
      </c>
      <c r="K10" s="5" t="s">
        <v>72</v>
      </c>
      <c r="L10" s="3" t="s">
        <v>22</v>
      </c>
      <c r="M10" s="3" t="s">
        <v>57</v>
      </c>
    </row>
    <row r="11" spans="1:13" s="19" customFormat="1" ht="15.75" customHeight="1">
      <c r="A11" s="16">
        <v>46167.751175833335</v>
      </c>
      <c r="B11" s="17" t="s">
        <v>32</v>
      </c>
      <c r="C11" s="17" t="s">
        <v>33</v>
      </c>
      <c r="D11" s="17" t="s">
        <v>73</v>
      </c>
      <c r="E11" s="17" t="s">
        <v>74</v>
      </c>
      <c r="F11" s="17" t="s">
        <v>16</v>
      </c>
      <c r="G11" s="20" t="s">
        <v>170</v>
      </c>
      <c r="H11" s="20" t="s">
        <v>169</v>
      </c>
      <c r="I11" s="21" t="s">
        <v>171</v>
      </c>
      <c r="J11" s="17" t="s">
        <v>75</v>
      </c>
      <c r="K11" s="22" t="s">
        <v>76</v>
      </c>
      <c r="L11" s="17" t="s">
        <v>22</v>
      </c>
      <c r="M11" s="17" t="s">
        <v>57</v>
      </c>
    </row>
    <row r="12" spans="1:13" ht="15.75" customHeight="1">
      <c r="A12" s="2">
        <v>46167.894084988424</v>
      </c>
      <c r="B12" s="3" t="s">
        <v>32</v>
      </c>
      <c r="C12" s="3" t="s">
        <v>33</v>
      </c>
      <c r="D12" s="3" t="s">
        <v>77</v>
      </c>
      <c r="E12" s="3" t="s">
        <v>78</v>
      </c>
      <c r="G12" s="25" t="s">
        <v>166</v>
      </c>
      <c r="H12" s="15" t="s">
        <v>167</v>
      </c>
      <c r="I12" s="14" t="s">
        <v>168</v>
      </c>
      <c r="J12" s="3" t="s">
        <v>79</v>
      </c>
      <c r="K12" s="5" t="s">
        <v>80</v>
      </c>
      <c r="L12" s="3" t="s">
        <v>22</v>
      </c>
      <c r="M12" s="3" t="s">
        <v>57</v>
      </c>
    </row>
    <row r="13" spans="1:13" ht="15.75" customHeight="1">
      <c r="A13" s="2">
        <v>46168.585577685182</v>
      </c>
      <c r="B13" s="3" t="s">
        <v>32</v>
      </c>
      <c r="C13" s="3" t="s">
        <v>33</v>
      </c>
      <c r="D13" s="3" t="s">
        <v>81</v>
      </c>
      <c r="E13" s="3" t="s">
        <v>82</v>
      </c>
      <c r="F13" s="3" t="s">
        <v>16</v>
      </c>
      <c r="G13" s="25" t="s">
        <v>163</v>
      </c>
      <c r="H13" s="25" t="s">
        <v>165</v>
      </c>
      <c r="I13" s="14" t="s">
        <v>164</v>
      </c>
      <c r="J13" s="3" t="s">
        <v>83</v>
      </c>
      <c r="K13" s="5" t="s">
        <v>84</v>
      </c>
      <c r="L13" s="3" t="s">
        <v>22</v>
      </c>
      <c r="M13" s="3" t="s">
        <v>57</v>
      </c>
    </row>
    <row r="15" spans="1:13" ht="15.75" customHeight="1">
      <c r="A15" s="2">
        <v>46169.581236157406</v>
      </c>
      <c r="B15" s="3" t="s">
        <v>32</v>
      </c>
      <c r="C15" s="3" t="s">
        <v>14</v>
      </c>
      <c r="D15" s="3" t="s">
        <v>88</v>
      </c>
      <c r="E15" s="3" t="s">
        <v>89</v>
      </c>
      <c r="G15" s="15" t="s">
        <v>160</v>
      </c>
      <c r="H15" s="15" t="s">
        <v>161</v>
      </c>
      <c r="I15" s="14" t="s">
        <v>162</v>
      </c>
      <c r="J15" s="3" t="s">
        <v>90</v>
      </c>
      <c r="K15" s="5" t="s">
        <v>91</v>
      </c>
      <c r="L15" s="3" t="s">
        <v>22</v>
      </c>
      <c r="M15" s="3" t="s">
        <v>57</v>
      </c>
    </row>
    <row r="16" spans="1:13" s="19" customFormat="1" ht="15.75" customHeight="1">
      <c r="A16" s="16">
        <v>46169.623210381949</v>
      </c>
      <c r="B16" s="17" t="s">
        <v>32</v>
      </c>
      <c r="C16" s="17" t="s">
        <v>33</v>
      </c>
      <c r="D16" s="24" t="s">
        <v>156</v>
      </c>
      <c r="E16" s="17" t="s">
        <v>93</v>
      </c>
      <c r="G16" s="20" t="s">
        <v>157</v>
      </c>
      <c r="H16" s="20" t="s">
        <v>159</v>
      </c>
      <c r="I16" s="21" t="s">
        <v>158</v>
      </c>
      <c r="J16" s="17" t="s">
        <v>94</v>
      </c>
      <c r="K16" s="22" t="s">
        <v>95</v>
      </c>
      <c r="L16" s="17" t="s">
        <v>22</v>
      </c>
      <c r="M16" s="17" t="s">
        <v>57</v>
      </c>
    </row>
    <row r="17" spans="1:13" ht="15.75" customHeight="1">
      <c r="A17" s="2">
        <v>46169.656772881943</v>
      </c>
      <c r="B17" s="15" t="s">
        <v>184</v>
      </c>
      <c r="C17" s="15" t="s">
        <v>185</v>
      </c>
      <c r="D17" s="25" t="s">
        <v>187</v>
      </c>
      <c r="E17" s="15" t="s">
        <v>193</v>
      </c>
      <c r="G17" s="15" t="s">
        <v>194</v>
      </c>
      <c r="H17" s="15" t="s">
        <v>197</v>
      </c>
      <c r="I17" s="14" t="s">
        <v>198</v>
      </c>
      <c r="J17" s="3" t="s">
        <v>98</v>
      </c>
      <c r="K17" s="5" t="s">
        <v>99</v>
      </c>
      <c r="L17" s="3" t="s">
        <v>22</v>
      </c>
      <c r="M17" s="3" t="s">
        <v>57</v>
      </c>
    </row>
    <row r="19" spans="1:13" ht="15.75" customHeight="1">
      <c r="A19" s="2">
        <v>46169.832794837959</v>
      </c>
      <c r="B19" s="3" t="s">
        <v>96</v>
      </c>
      <c r="C19" s="15" t="s">
        <v>186</v>
      </c>
      <c r="D19" s="25" t="s">
        <v>189</v>
      </c>
      <c r="E19" s="3" t="s">
        <v>108</v>
      </c>
      <c r="G19" s="25" t="s">
        <v>195</v>
      </c>
      <c r="H19" s="25" t="s">
        <v>200</v>
      </c>
      <c r="I19" s="14" t="s">
        <v>199</v>
      </c>
      <c r="J19" s="3" t="s">
        <v>109</v>
      </c>
      <c r="K19" s="5" t="s">
        <v>110</v>
      </c>
      <c r="L19" s="3" t="s">
        <v>22</v>
      </c>
      <c r="M19" s="3" t="s">
        <v>57</v>
      </c>
    </row>
    <row r="20" spans="1:13" ht="15.75" customHeight="1">
      <c r="A20" s="2">
        <v>46169.902644548609</v>
      </c>
      <c r="B20" s="3" t="s">
        <v>96</v>
      </c>
      <c r="C20" s="3" t="s">
        <v>107</v>
      </c>
      <c r="D20" s="15" t="s">
        <v>191</v>
      </c>
      <c r="E20" s="3" t="s">
        <v>97</v>
      </c>
      <c r="G20" s="15" t="s">
        <v>196</v>
      </c>
      <c r="H20" s="15" t="s">
        <v>202</v>
      </c>
      <c r="I20" s="14" t="s">
        <v>201</v>
      </c>
      <c r="J20" s="3" t="s">
        <v>111</v>
      </c>
      <c r="K20" s="5" t="s">
        <v>112</v>
      </c>
      <c r="L20" s="3" t="s">
        <v>22</v>
      </c>
      <c r="M20" s="3" t="s">
        <v>57</v>
      </c>
    </row>
    <row r="21" spans="1:13" s="28" customFormat="1" ht="15.75" customHeight="1">
      <c r="A21" s="26">
        <v>46170.410079189816</v>
      </c>
      <c r="B21" s="27" t="s">
        <v>32</v>
      </c>
      <c r="C21" s="27" t="s">
        <v>33</v>
      </c>
      <c r="D21" s="30" t="s">
        <v>178</v>
      </c>
      <c r="E21" s="31" t="s">
        <v>180</v>
      </c>
      <c r="G21" s="31" t="s">
        <v>181</v>
      </c>
      <c r="H21" s="31" t="s">
        <v>182</v>
      </c>
      <c r="I21" s="32" t="s">
        <v>183</v>
      </c>
      <c r="J21" s="27" t="s">
        <v>113</v>
      </c>
      <c r="K21" s="29" t="s">
        <v>114</v>
      </c>
      <c r="L21" s="27" t="s">
        <v>22</v>
      </c>
      <c r="M21" s="27" t="s">
        <v>57</v>
      </c>
    </row>
    <row r="25" spans="1:13" ht="15.75" customHeight="1">
      <c r="A25" s="2">
        <v>46171.706367141203</v>
      </c>
      <c r="B25" s="3" t="s">
        <v>32</v>
      </c>
      <c r="C25" s="3" t="s">
        <v>33</v>
      </c>
      <c r="D25" s="25" t="s">
        <v>203</v>
      </c>
      <c r="E25" s="3" t="s">
        <v>59</v>
      </c>
      <c r="G25" s="25" t="s">
        <v>205</v>
      </c>
      <c r="I25" s="14" t="s">
        <v>206</v>
      </c>
      <c r="J25" s="3" t="s">
        <v>134</v>
      </c>
      <c r="K25" s="5" t="s">
        <v>135</v>
      </c>
      <c r="L25" s="3" t="s">
        <v>22</v>
      </c>
      <c r="M25" s="3" t="s">
        <v>57</v>
      </c>
    </row>
  </sheetData>
  <phoneticPr fontId="3" type="noConversion"/>
  <hyperlinks>
    <hyperlink ref="K4" r:id="rId1"/>
    <hyperlink ref="K7" r:id="rId2"/>
    <hyperlink ref="K8" r:id="rId3"/>
    <hyperlink ref="K10" r:id="rId4"/>
    <hyperlink ref="K11" r:id="rId5"/>
    <hyperlink ref="K12" r:id="rId6"/>
    <hyperlink ref="K13" r:id="rId7"/>
    <hyperlink ref="K15" r:id="rId8"/>
    <hyperlink ref="K16" r:id="rId9"/>
    <hyperlink ref="K17" r:id="rId10"/>
    <hyperlink ref="K19" r:id="rId11"/>
    <hyperlink ref="K20" r:id="rId12"/>
    <hyperlink ref="K21" r:id="rId13"/>
    <hyperlink ref="K25" r:id="rId1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25"/>
  <sheetViews>
    <sheetView workbookViewId="0">
      <selection activeCell="B15" sqref="B15"/>
    </sheetView>
  </sheetViews>
  <sheetFormatPr defaultColWidth="12.6640625" defaultRowHeight="15.75" customHeight="1"/>
  <cols>
    <col min="1" max="1" width="18.88671875" customWidth="1"/>
    <col min="2" max="2" width="31.21875" customWidth="1"/>
    <col min="3" max="3" width="18.88671875" customWidth="1"/>
    <col min="4" max="4" width="37.21875" customWidth="1"/>
    <col min="5" max="5" width="30.21875" customWidth="1"/>
    <col min="6" max="6" width="20.109375" customWidth="1"/>
    <col min="7" max="7" width="30.77734375" customWidth="1"/>
    <col min="8" max="8" width="33.33203125" customWidth="1"/>
    <col min="9" max="9" width="32.88671875" customWidth="1"/>
    <col min="10" max="10" width="26" customWidth="1"/>
    <col min="11" max="12" width="37.6640625" customWidth="1"/>
    <col min="13" max="19" width="18.88671875" customWidth="1"/>
  </cols>
  <sheetData>
    <row r="1" spans="1:1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.75" customHeight="1">
      <c r="A2" s="2"/>
      <c r="B2" s="3"/>
      <c r="C2" s="3"/>
      <c r="D2" s="3"/>
      <c r="E2" s="3"/>
      <c r="F2" s="3"/>
      <c r="G2" s="3"/>
      <c r="H2" s="3"/>
      <c r="I2" s="4"/>
      <c r="J2" s="3"/>
      <c r="K2" s="5"/>
      <c r="L2" s="3"/>
      <c r="M2" s="3"/>
    </row>
    <row r="3" spans="1:13" ht="15.75" customHeight="1">
      <c r="A3" s="2"/>
      <c r="B3" s="7" t="s">
        <v>136</v>
      </c>
      <c r="C3" s="3"/>
      <c r="D3" s="3"/>
      <c r="E3" s="3"/>
      <c r="G3" s="3"/>
      <c r="H3" s="3"/>
      <c r="I3" s="4"/>
      <c r="J3" s="3"/>
      <c r="K3" s="5"/>
      <c r="L3" s="3"/>
      <c r="M3" s="3"/>
    </row>
    <row r="4" spans="1:13" ht="15.75" customHeight="1">
      <c r="A4" s="2">
        <v>46125.83041962963</v>
      </c>
      <c r="B4" s="3" t="s">
        <v>13</v>
      </c>
      <c r="C4" s="15" t="s">
        <v>208</v>
      </c>
      <c r="D4" s="3" t="s">
        <v>15</v>
      </c>
      <c r="E4" s="15" t="s">
        <v>209</v>
      </c>
      <c r="F4" s="3" t="s">
        <v>16</v>
      </c>
      <c r="G4" s="3" t="s">
        <v>17</v>
      </c>
      <c r="H4" s="3" t="s">
        <v>18</v>
      </c>
      <c r="I4" s="4" t="s">
        <v>19</v>
      </c>
      <c r="J4" s="3" t="s">
        <v>20</v>
      </c>
      <c r="K4" s="5" t="s">
        <v>21</v>
      </c>
      <c r="L4" s="3" t="s">
        <v>22</v>
      </c>
      <c r="M4" s="6" t="s">
        <v>207</v>
      </c>
    </row>
    <row r="5" spans="1:13" ht="15.75" customHeight="1">
      <c r="A5" s="2">
        <v>46139.878825787033</v>
      </c>
      <c r="B5" s="3" t="s">
        <v>24</v>
      </c>
      <c r="C5" s="3" t="s">
        <v>14</v>
      </c>
      <c r="D5" s="3" t="s">
        <v>25</v>
      </c>
      <c r="E5" s="3" t="s">
        <v>26</v>
      </c>
      <c r="G5" s="3" t="s">
        <v>27</v>
      </c>
      <c r="H5" s="3" t="s">
        <v>28</v>
      </c>
      <c r="I5" s="4" t="s">
        <v>29</v>
      </c>
      <c r="J5" s="3" t="s">
        <v>30</v>
      </c>
      <c r="K5" s="5" t="s">
        <v>31</v>
      </c>
      <c r="L5" s="3" t="s">
        <v>22</v>
      </c>
      <c r="M5" s="3" t="s">
        <v>23</v>
      </c>
    </row>
    <row r="6" spans="1:13" ht="15.75" customHeight="1">
      <c r="A6" s="2">
        <v>46156.813000289352</v>
      </c>
      <c r="B6" s="15" t="s">
        <v>210</v>
      </c>
      <c r="C6" s="15" t="s">
        <v>211</v>
      </c>
      <c r="D6" s="3" t="s">
        <v>38</v>
      </c>
      <c r="E6" s="3" t="s">
        <v>39</v>
      </c>
      <c r="G6" s="3" t="s">
        <v>40</v>
      </c>
      <c r="H6" s="3" t="s">
        <v>41</v>
      </c>
      <c r="I6" s="4" t="s">
        <v>42</v>
      </c>
      <c r="J6" s="3" t="s">
        <v>43</v>
      </c>
      <c r="K6" s="5" t="s">
        <v>44</v>
      </c>
      <c r="L6" s="3" t="s">
        <v>22</v>
      </c>
      <c r="M6" s="3" t="s">
        <v>23</v>
      </c>
    </row>
    <row r="7" spans="1:13" ht="15.75" customHeight="1">
      <c r="A7" s="2">
        <v>46158.801994803245</v>
      </c>
      <c r="B7" s="3" t="s">
        <v>13</v>
      </c>
      <c r="C7" s="3" t="s">
        <v>45</v>
      </c>
      <c r="D7" s="3" t="s">
        <v>46</v>
      </c>
      <c r="E7" s="3" t="s">
        <v>47</v>
      </c>
      <c r="G7" s="3" t="s">
        <v>48</v>
      </c>
      <c r="H7" s="3" t="s">
        <v>49</v>
      </c>
      <c r="I7" s="4" t="s">
        <v>50</v>
      </c>
      <c r="J7" s="3" t="s">
        <v>51</v>
      </c>
      <c r="K7" s="5" t="s">
        <v>52</v>
      </c>
      <c r="L7" s="3" t="s">
        <v>22</v>
      </c>
      <c r="M7" s="3" t="s">
        <v>23</v>
      </c>
    </row>
    <row r="8" spans="1:13" ht="15.75" customHeight="1">
      <c r="A8" s="2">
        <v>46162.873447893522</v>
      </c>
      <c r="B8" s="15" t="s">
        <v>212</v>
      </c>
      <c r="C8" s="15" t="s">
        <v>208</v>
      </c>
      <c r="D8" s="3" t="s">
        <v>62</v>
      </c>
      <c r="E8" s="3" t="s">
        <v>63</v>
      </c>
      <c r="F8" s="3" t="s">
        <v>16</v>
      </c>
      <c r="G8" s="3" t="s">
        <v>64</v>
      </c>
      <c r="H8" s="3" t="s">
        <v>65</v>
      </c>
      <c r="I8" s="4" t="s">
        <v>66</v>
      </c>
      <c r="J8" s="3" t="s">
        <v>67</v>
      </c>
      <c r="K8" s="5" t="s">
        <v>68</v>
      </c>
      <c r="L8" s="3" t="s">
        <v>22</v>
      </c>
      <c r="M8" s="3" t="s">
        <v>23</v>
      </c>
    </row>
    <row r="9" spans="1:13" ht="15.75" customHeight="1">
      <c r="A9" s="2">
        <v>46169.707415972225</v>
      </c>
      <c r="B9" s="3" t="s">
        <v>37</v>
      </c>
      <c r="C9" s="15" t="s">
        <v>208</v>
      </c>
      <c r="D9" s="3" t="s">
        <v>100</v>
      </c>
      <c r="E9" s="3" t="s">
        <v>101</v>
      </c>
      <c r="G9" s="3" t="s">
        <v>102</v>
      </c>
      <c r="H9" s="3" t="s">
        <v>103</v>
      </c>
      <c r="I9" s="4" t="s">
        <v>104</v>
      </c>
      <c r="J9" s="3" t="s">
        <v>105</v>
      </c>
      <c r="K9" s="5" t="s">
        <v>106</v>
      </c>
      <c r="L9" s="3" t="s">
        <v>22</v>
      </c>
      <c r="M9" s="3" t="s">
        <v>23</v>
      </c>
    </row>
    <row r="10" spans="1:13" ht="15.75" customHeight="1">
      <c r="A10" s="2">
        <v>46170.81952873843</v>
      </c>
      <c r="B10" s="3" t="s">
        <v>118</v>
      </c>
      <c r="C10" s="15" t="s">
        <v>213</v>
      </c>
      <c r="D10" s="3" t="s">
        <v>119</v>
      </c>
      <c r="E10" s="3" t="s">
        <v>120</v>
      </c>
      <c r="G10" s="3" t="s">
        <v>121</v>
      </c>
      <c r="H10" s="3" t="s">
        <v>122</v>
      </c>
      <c r="I10" s="4" t="s">
        <v>123</v>
      </c>
      <c r="J10" s="3" t="s">
        <v>124</v>
      </c>
      <c r="K10" s="5" t="s">
        <v>125</v>
      </c>
      <c r="L10" s="3" t="s">
        <v>22</v>
      </c>
      <c r="M10" s="3" t="s">
        <v>23</v>
      </c>
    </row>
    <row r="11" spans="1:13" ht="15.75" customHeight="1">
      <c r="A11" s="2">
        <v>46170.822745937505</v>
      </c>
      <c r="B11" s="3" t="s">
        <v>126</v>
      </c>
      <c r="C11" s="15" t="s">
        <v>214</v>
      </c>
      <c r="D11" s="3" t="s">
        <v>127</v>
      </c>
      <c r="E11" s="3" t="s">
        <v>128</v>
      </c>
      <c r="G11" s="3" t="s">
        <v>129</v>
      </c>
      <c r="H11" s="3" t="s">
        <v>130</v>
      </c>
      <c r="I11" s="4" t="s">
        <v>131</v>
      </c>
      <c r="J11" s="3" t="s">
        <v>132</v>
      </c>
      <c r="K11" s="5" t="s">
        <v>133</v>
      </c>
      <c r="L11" s="3" t="s">
        <v>22</v>
      </c>
      <c r="M11" s="3" t="s">
        <v>23</v>
      </c>
    </row>
    <row r="12" spans="1:13" ht="15.75" customHeight="1">
      <c r="A12" s="2"/>
      <c r="B12" s="3"/>
      <c r="C12" s="3"/>
      <c r="D12" s="3"/>
      <c r="E12" s="3"/>
      <c r="F12" s="3"/>
      <c r="G12" s="3"/>
      <c r="H12" s="3"/>
      <c r="I12" s="4"/>
      <c r="J12" s="3"/>
      <c r="K12" s="5"/>
      <c r="L12" s="3"/>
      <c r="M12" s="3"/>
    </row>
    <row r="13" spans="1:13" ht="15.75" customHeight="1">
      <c r="A13" s="2"/>
      <c r="B13" s="3"/>
      <c r="C13" s="3"/>
      <c r="D13" s="3"/>
      <c r="E13" s="3"/>
      <c r="G13" s="3"/>
      <c r="H13" s="3"/>
      <c r="I13" s="4"/>
      <c r="J13" s="3"/>
      <c r="K13" s="5"/>
      <c r="L13" s="3"/>
      <c r="M13" s="3"/>
    </row>
    <row r="14" spans="1:13" ht="15.75" customHeight="1">
      <c r="A14" s="2"/>
      <c r="B14" s="3"/>
      <c r="C14" s="3"/>
      <c r="D14" s="3"/>
      <c r="E14" s="3"/>
      <c r="F14" s="3"/>
      <c r="G14" s="3"/>
      <c r="H14" s="3"/>
      <c r="I14" s="4"/>
      <c r="J14" s="3"/>
      <c r="K14" s="5"/>
      <c r="L14" s="3"/>
      <c r="M14" s="3"/>
    </row>
    <row r="15" spans="1:13" ht="15.75" customHeight="1">
      <c r="A15" s="2"/>
      <c r="B15" s="15" t="s">
        <v>138</v>
      </c>
      <c r="C15" s="3"/>
      <c r="D15" s="3"/>
      <c r="E15" s="3"/>
      <c r="G15" s="3"/>
      <c r="I15" s="4"/>
      <c r="J15" s="3"/>
      <c r="K15" s="5"/>
      <c r="L15" s="3"/>
      <c r="M15" s="3"/>
    </row>
    <row r="16" spans="1:13" ht="15.75" customHeight="1">
      <c r="A16" s="2">
        <v>46168.76321344907</v>
      </c>
      <c r="B16" s="3" t="s">
        <v>85</v>
      </c>
      <c r="C16" s="15" t="s">
        <v>220</v>
      </c>
      <c r="D16" s="6" t="s">
        <v>215</v>
      </c>
      <c r="E16" s="15" t="s">
        <v>219</v>
      </c>
      <c r="G16" s="15" t="s">
        <v>222</v>
      </c>
      <c r="I16" s="14" t="s">
        <v>221</v>
      </c>
      <c r="J16" s="3" t="s">
        <v>86</v>
      </c>
      <c r="K16" s="5" t="s">
        <v>87</v>
      </c>
      <c r="L16" s="3" t="s">
        <v>22</v>
      </c>
      <c r="M16" s="3" t="s">
        <v>36</v>
      </c>
    </row>
    <row r="17" spans="1:13" ht="15.75" customHeight="1">
      <c r="A17" s="2">
        <v>46170.668901157405</v>
      </c>
      <c r="B17" s="3" t="s">
        <v>37</v>
      </c>
      <c r="C17" s="15" t="s">
        <v>214</v>
      </c>
      <c r="D17" s="6" t="s">
        <v>217</v>
      </c>
      <c r="E17" s="3" t="s">
        <v>115</v>
      </c>
      <c r="G17" s="15" t="s">
        <v>238</v>
      </c>
      <c r="H17" s="15" t="s">
        <v>239</v>
      </c>
      <c r="I17" s="14" t="s">
        <v>240</v>
      </c>
      <c r="J17" s="3" t="s">
        <v>116</v>
      </c>
      <c r="K17" s="5" t="s">
        <v>117</v>
      </c>
      <c r="L17" s="3" t="s">
        <v>22</v>
      </c>
      <c r="M17" s="3" t="s">
        <v>36</v>
      </c>
    </row>
    <row r="18" spans="1:13" ht="15.75" customHeight="1">
      <c r="A18" s="2"/>
      <c r="B18" s="3"/>
      <c r="C18" s="3"/>
      <c r="D18" s="3"/>
      <c r="E18" s="3"/>
      <c r="G18" s="3"/>
      <c r="H18" s="3"/>
      <c r="I18" s="4"/>
      <c r="J18" s="3"/>
      <c r="K18" s="5"/>
      <c r="L18" s="3"/>
      <c r="M18" s="3"/>
    </row>
    <row r="19" spans="1:13" ht="15.75" customHeight="1">
      <c r="A19" s="2"/>
      <c r="B19" s="3"/>
      <c r="C19" s="3"/>
      <c r="D19" s="3"/>
      <c r="E19" s="3"/>
      <c r="G19" s="3"/>
      <c r="H19" s="3"/>
      <c r="I19" s="4"/>
      <c r="J19" s="3"/>
      <c r="K19" s="5"/>
      <c r="L19" s="3"/>
      <c r="M19" s="3"/>
    </row>
    <row r="20" spans="1:13" ht="15.75" customHeight="1">
      <c r="A20" s="2"/>
      <c r="B20" s="3"/>
      <c r="C20" s="3"/>
      <c r="D20" s="3"/>
      <c r="E20" s="3"/>
      <c r="G20" s="3"/>
      <c r="H20" s="3"/>
      <c r="I20" s="4"/>
      <c r="J20" s="3"/>
      <c r="K20" s="5"/>
      <c r="L20" s="3"/>
      <c r="M20" s="3"/>
    </row>
    <row r="21" spans="1:13" ht="15.75" customHeight="1">
      <c r="A21" s="2"/>
      <c r="B21" s="3"/>
      <c r="C21" s="3"/>
      <c r="D21" s="3"/>
      <c r="E21" s="3"/>
      <c r="G21" s="3"/>
      <c r="H21" s="3"/>
      <c r="I21" s="4"/>
      <c r="J21" s="3"/>
      <c r="K21" s="5"/>
      <c r="L21" s="3"/>
      <c r="M21" s="3"/>
    </row>
    <row r="22" spans="1:13" ht="15.75" customHeight="1">
      <c r="A22" s="2"/>
      <c r="B22" s="3"/>
      <c r="C22" s="3"/>
      <c r="D22" s="3"/>
      <c r="E22" s="3"/>
      <c r="G22" s="3"/>
      <c r="H22" s="3"/>
      <c r="I22" s="4"/>
      <c r="J22" s="3"/>
      <c r="K22" s="5"/>
      <c r="L22" s="3"/>
      <c r="M22" s="3"/>
    </row>
    <row r="23" spans="1:13" ht="15.75" customHeight="1">
      <c r="A23" s="2"/>
      <c r="B23" s="3"/>
      <c r="C23" s="3"/>
      <c r="D23" s="3"/>
      <c r="E23" s="3"/>
      <c r="G23" s="3"/>
      <c r="H23" s="3"/>
      <c r="I23" s="4"/>
      <c r="J23" s="3"/>
      <c r="K23" s="5"/>
      <c r="L23" s="3"/>
      <c r="M23" s="3"/>
    </row>
    <row r="24" spans="1:13" ht="15.75" customHeight="1">
      <c r="A24" s="2"/>
      <c r="B24" s="3"/>
      <c r="C24" s="3"/>
      <c r="D24" s="3"/>
      <c r="E24" s="3"/>
      <c r="G24" s="3"/>
      <c r="H24" s="3"/>
      <c r="I24" s="4"/>
      <c r="J24" s="3"/>
      <c r="K24" s="5"/>
      <c r="L24" s="3"/>
      <c r="M24" s="3"/>
    </row>
    <row r="25" spans="1:13" ht="15.75" customHeight="1">
      <c r="A25" s="2"/>
      <c r="B25" s="3"/>
      <c r="C25" s="3"/>
      <c r="D25" s="3"/>
      <c r="E25" s="3"/>
      <c r="G25" s="3"/>
      <c r="H25" s="3"/>
      <c r="I25" s="4"/>
      <c r="J25" s="3"/>
      <c r="K25" s="5"/>
      <c r="L25" s="3"/>
      <c r="M25" s="3"/>
    </row>
  </sheetData>
  <phoneticPr fontId="3" type="noConversion"/>
  <hyperlinks>
    <hyperlink ref="K4" r:id="rId1"/>
    <hyperlink ref="K5" r:id="rId2"/>
    <hyperlink ref="K6" r:id="rId3"/>
    <hyperlink ref="K7" r:id="rId4"/>
    <hyperlink ref="K8" r:id="rId5"/>
    <hyperlink ref="K9" r:id="rId6"/>
    <hyperlink ref="K10" r:id="rId7"/>
    <hyperlink ref="K11" r:id="rId8"/>
    <hyperlink ref="K16" r:id="rId9"/>
    <hyperlink ref="K17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資訊組報告順序</vt:lpstr>
      <vt:lpstr>表單回覆 1</vt:lpstr>
      <vt:lpstr>線上報告_外地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2026-06-03T11:24:15Z</dcterms:modified>
</cp:coreProperties>
</file>